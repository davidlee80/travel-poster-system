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77784d864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r V2 产品字段表" sheetId="1" r:id="R820dbfb8e3b4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17365D"/>
      <x:name val="Carlito"/>
    </x:font>
    <x:font>
      <x:b/>
      <x:sz val="14"/>
      <x:color rgb="FF111827"/>
      <x:name val="Carlito"/>
    </x:font>
    <x:font>
      <x:sz val="9"/>
      <x:color rgb="FF6B4F00"/>
      <x:name val="Carlito"/>
    </x:font>
    <x:font>
      <x:b/>
      <x:sz val="11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8FBFD"/>
      </x:patternFill>
    </x:fill>
    <x:fill>
      <x:patternFill patternType="solid">
        <x:fgColor rgb="FFFFF7E6"/>
      </x:patternFill>
    </x:fill>
    <x:fill>
      <x:patternFill patternType="solid">
        <x:fgColor rgb="FF244062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horizontal="center" vertical="top" wrapText="1"/>
    </x:xf>
    <x:xf numFmtId="0" fontId="7" fillId="0" borderId="8" xfId="0" applyNumberFormat="1" applyFont="1" applyFill="1" applyBorder="1" applyAlignment="1">
      <x:alignment horizontal="center"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475569"/>
      </x:font>
      <x:fill>
        <x:patternFill patternType="solid">
          <x:bgColor rgb="FFEEF2F7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863ab3435447e" /><Relationship Type="http://schemas.openxmlformats.org/officeDocument/2006/relationships/theme" Target="/xl/theme/theme1.xml" Id="R5aac9442aabc4acf" /><Relationship Type="http://schemas.openxmlformats.org/officeDocument/2006/relationships/sharedStrings" Target="/xl/sharedStrings.xml" Id="R9c4484db781242b2" /><Relationship Type="http://schemas.openxmlformats.org/officeDocument/2006/relationships/worksheet" Target="/xl/worksheets/sheet1.xml" Id="R820dbfb8e3b44c10" /></Relationships>
</file>

<file path=xl/tables/table1.xml><?xml version="1.0" encoding="utf-8"?>
<x:table xmlns:x="http://schemas.openxmlformats.org/spreadsheetml/2006/main" id="1" name="PlannerV2FieldsTable" displayName="PlannerV2FieldsTable" ref="A8:V84" headerRowCount="1" totalsRowCount="0" totalsRowShown="0">
  <x:tableColumns count="22">
    <x:tableColumn id="1" name="字段ID"/>
    <x:tableColumn id="2" name="步骤"/>
    <x:tableColumn id="3" name="字段层级"/>
    <x:tableColumn id="4" name="页面/模块"/>
    <x:tableColumn id="5" name="子模块"/>
    <x:tableColumn id="6" name="客户问题/字段"/>
    <x:tableColumn id="7" name="推荐控件"/>
    <x:tableColumn id="8" name="选项/示例"/>
    <x:tableColumn id="9" name="必填规则"/>
    <x:tableColumn id="10" name="显示/触发条件"/>
    <x:tableColumn id="11" name="数据类型"/>
    <x:tableColumn id="12" name="API Key"/>
    <x:tableColumn id="13" name="条件类型"/>
    <x:tableColumn id="14" name="敏感级别"/>
    <x:tableColumn id="15" name="V1→V2状态"/>
    <x:tableColumn id="16" name="优先级"/>
    <x:tableColumn id="17" name="阻塞初步方案"/>
    <x:tableColumn id="18" name="右侧摘要分组"/>
    <x:tableColumn id="19" name="后端/AI用途"/>
    <x:tableColumn id="20" name="对应服务体系ID"/>
    <x:tableColumn id="21" name="校验/验收规则"/>
    <x:tableColumn id="22" name="产品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3777e5fe014d3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7" hidden="0" customWidth="1"/>
    <x:col min="3" max="3" width="12" hidden="0" customWidth="1"/>
    <x:col min="4" max="4" width="18" hidden="0" customWidth="1"/>
    <x:col min="5" max="5" width="18" hidden="0" customWidth="1"/>
    <x:col min="6" max="6" width="32" hidden="0" customWidth="1"/>
    <x:col min="7" max="7" width="22" hidden="0" customWidth="1"/>
    <x:col min="8" max="8" width="44" hidden="0" customWidth="1"/>
    <x:col min="9" max="9" width="12" hidden="0" customWidth="1"/>
    <x:col min="10" max="10" width="30" hidden="0" customWidth="1"/>
    <x:col min="11" max="11" width="16" hidden="0" customWidth="1"/>
    <x:col min="12" max="12" width="28" hidden="0" customWidth="1"/>
    <x:col min="13" max="13" width="16" hidden="0" customWidth="1"/>
    <x:col min="14" max="14" width="12" hidden="0" customWidth="1"/>
    <x:col min="15" max="15" width="14" hidden="0" customWidth="1"/>
    <x:col min="16" max="16" width="8" hidden="0" customWidth="1"/>
    <x:col min="17" max="17" width="12" hidden="0" customWidth="1"/>
    <x:col min="18" max="18" width="14" hidden="0" customWidth="1"/>
    <x:col min="19" max="19" width="42" hidden="0" customWidth="1"/>
    <x:col min="20" max="20" width="24" hidden="0" customWidth="1"/>
    <x:col min="21" max="21" width="40" hidden="0" customWidth="1"/>
    <x:col min="22" max="22" width="42" hidden="0" customWidth="1"/>
  </x:cols>
  <x:sheetData>
    <x:row r="1" ht="30" customHeight="1">
      <x:c r="A1" s="5" t="str">
        <x:v>Planner V2 产品字段表｜私人旅行顾问客户需求采集规范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6" customHeight="1">
      <x:c r="A2" s="13" t="str">
        <x:v>设计原则：只问客户本人知道的信息；系统可推导/可自动调研的内容不重复询问。字段分为主流程、条件触发、方案后补充三层；FACT/HARD/PREFER/EXCLUDE/VERIFY 用于规划模型约束。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4">
      <x:c r="A4" s="21" t="str">
        <x:v>字段总数</x:v>
      </x:c>
      <x:c r="B4" s="21"/>
      <x:c r="C4" s="21"/>
      <x:c r="D4" s="21" t="str">
        <x:v>主流程</x:v>
      </x:c>
      <x:c r="E4" s="21"/>
      <x:c r="F4" s="21"/>
      <x:c r="G4" s="21" t="str">
        <x:v>条件触发</x:v>
      </x:c>
      <x:c r="H4" s="21"/>
      <x:c r="I4" s="21"/>
      <x:c r="J4" s="21" t="str">
        <x:v>方案后补充</x:v>
      </x:c>
      <x:c r="K4" s="21"/>
      <x:c r="L4" s="21"/>
      <x:c r="M4" s="21" t="str">
        <x:v>P0字段</x:v>
      </x:c>
      <x:c r="N4" s="21"/>
      <x:c r="O4" s="21"/>
      <x:c r="P4" s="21" t="str">
        <x:v>V1保留/改造</x:v>
      </x:c>
      <x:c r="Q4" s="21"/>
      <x:c r="R4" s="21"/>
      <x:c r="S4" s="37" t="str">
        <x:v>来源依据：planner.html 第一版实际字段 +《私人专属旅行服务体系_完整版》“客户需求采集/服务项目主表”。
对应服务体系ID用于产品字段与后端服务SOP、自动调研/核验项之间的追踪。</x:v>
      </x:c>
      <x:c r="T4" s="37"/>
      <x:c r="U4" s="37"/>
      <x:c r="V4" s="37"/>
    </x:row>
    <x:row r="5">
      <x:c r="A5" s="29" t="n">
        <x:f>COUNTA(A9:A84)</x:f>
        <x:v>76</x:v>
      </x:c>
      <x:c r="B5" s="29"/>
      <x:c r="C5" s="29"/>
      <x:c r="D5" s="29" t="n">
        <x:f>COUNTIF(C9:C84,"主流程")</x:f>
        <x:v>51</x:v>
      </x:c>
      <x:c r="E5" s="29"/>
      <x:c r="F5" s="29"/>
      <x:c r="G5" s="29" t="n">
        <x:f>COUNTIF(C9:C84,"条件触发")</x:f>
        <x:v>19</x:v>
      </x:c>
      <x:c r="H5" s="29"/>
      <x:c r="I5" s="29"/>
      <x:c r="J5" s="29" t="n">
        <x:f>COUNTIF(C9:C84,"方案后补充")</x:f>
        <x:v>6</x:v>
      </x:c>
      <x:c r="K5" s="29"/>
      <x:c r="L5" s="29"/>
      <x:c r="M5" s="29" t="n">
        <x:f>COUNTIF(P9:P84,"P0")</x:f>
        <x:v>52</x:v>
      </x:c>
      <x:c r="N5" s="29"/>
      <x:c r="O5" s="29"/>
      <x:c r="P5" s="29" t="n">
        <x:f>COUNTIF(O9:O84,"V1已有保留")+COUNTIF(O9:O84,"V1已有改造")</x:f>
        <x:v>28</x:v>
      </x:c>
      <x:c r="Q5" s="29"/>
      <x:c r="R5" s="29"/>
      <x:c r="S5" s="37"/>
      <x:c r="T5" s="37"/>
      <x:c r="U5" s="37"/>
      <x:c r="V5" s="37"/>
    </x:row>
    <x:row r="8" ht="32" customHeight="1">
      <x:c r="A8" s="60" t="str">
        <x:v>字段ID</x:v>
      </x:c>
      <x:c r="B8" s="61" t="str">
        <x:v>步骤</x:v>
      </x:c>
      <x:c r="C8" s="61" t="str">
        <x:v>字段层级</x:v>
      </x:c>
      <x:c r="D8" s="61" t="str">
        <x:v>页面/模块</x:v>
      </x:c>
      <x:c r="E8" s="61" t="str">
        <x:v>子模块</x:v>
      </x:c>
      <x:c r="F8" s="61" t="str">
        <x:v>客户问题/字段</x:v>
      </x:c>
      <x:c r="G8" s="61" t="str">
        <x:v>推荐控件</x:v>
      </x:c>
      <x:c r="H8" s="61" t="str">
        <x:v>选项/示例</x:v>
      </x:c>
      <x:c r="I8" s="61" t="str">
        <x:v>必填规则</x:v>
      </x:c>
      <x:c r="J8" s="61" t="str">
        <x:v>显示/触发条件</x:v>
      </x:c>
      <x:c r="K8" s="61" t="str">
        <x:v>数据类型</x:v>
      </x:c>
      <x:c r="L8" s="61" t="str">
        <x:v>API Key</x:v>
      </x:c>
      <x:c r="M8" s="61" t="str">
        <x:v>条件类型</x:v>
      </x:c>
      <x:c r="N8" s="61" t="str">
        <x:v>敏感级别</x:v>
      </x:c>
      <x:c r="O8" s="61" t="str">
        <x:v>V1→V2状态</x:v>
      </x:c>
      <x:c r="P8" s="61" t="str">
        <x:v>优先级</x:v>
      </x:c>
      <x:c r="Q8" s="61" t="str">
        <x:v>阻塞初步方案</x:v>
      </x:c>
      <x:c r="R8" s="61" t="str">
        <x:v>右侧摘要分组</x:v>
      </x:c>
      <x:c r="S8" s="61" t="str">
        <x:v>后端/AI用途</x:v>
      </x:c>
      <x:c r="T8" s="61" t="str">
        <x:v>对应服务体系ID</x:v>
      </x:c>
      <x:c r="U8" s="61" t="str">
        <x:v>校验/验收规则</x:v>
      </x:c>
      <x:c r="V8" s="62" t="str">
        <x:v>产品备注</x:v>
      </x:c>
    </x:row>
    <x:row r="9" ht="48" customHeight="1">
      <x:c r="A9" s="63" t="str">
        <x:v>PV2-01-001</x:v>
      </x:c>
      <x:c r="B9" s="58" t="str">
        <x:v>01</x:v>
      </x:c>
      <x:c r="C9" s="58" t="str">
        <x:v>主流程</x:v>
      </x:c>
      <x:c r="D9" s="56" t="str">
        <x:v>这次想怎么旅行</x:v>
      </x:c>
      <x:c r="E9" s="56" t="str">
        <x:v>出发与目的地</x:v>
      </x:c>
      <x:c r="F9" s="56" t="str">
        <x:v>出发地/常住地</x:v>
      </x:c>
      <x:c r="G9" s="56" t="str">
        <x:v>地点选择器+搜索</x:v>
      </x:c>
      <x:c r="H9" s="56" t="str">
        <x:v>城市/国家；支持机场/车站作为补充</x:v>
      </x:c>
      <x:c r="I9" s="58" t="str">
        <x:v>是</x:v>
      </x:c>
      <x:c r="J9" s="56" t="str">
        <x:v>始终显示</x:v>
      </x:c>
      <x:c r="K9" s="58" t="str">
        <x:v>object</x:v>
      </x:c>
      <x:c r="L9" s="56" t="str">
        <x:v>trip.origin</x:v>
      </x:c>
      <x:c r="M9" s="58" t="str">
        <x:v>FACT</x:v>
      </x:c>
      <x:c r="N9" s="58" t="str">
        <x:v>一般</x:v>
      </x:c>
      <x:c r="O9" s="58" t="str">
        <x:v>V1已有改造</x:v>
      </x:c>
      <x:c r="P9" s="58" t="str">
        <x:v>P0</x:v>
      </x:c>
      <x:c r="Q9" s="58" t="str">
        <x:v>是</x:v>
      </x:c>
      <x:c r="R9" s="58" t="str">
        <x:v>旅行骨架</x:v>
      </x:c>
      <x:c r="S9" s="56" t="str">
        <x:v>航线、时区、签证与交通研究的起点</x:v>
      </x:c>
      <x:c r="T9" s="58" t="str">
        <x:v>01-01;04-01</x:v>
      </x:c>
      <x:c r="U9" s="56" t="str">
        <x:v>必须可解析到城市+国家；允许补充具体机场/车站</x:v>
      </x:c>
      <x:c r="V9" s="64" t="str">
        <x:v>V1已有“出发地”，V2建议补充常住地语义</x:v>
      </x:c>
    </x:row>
    <x:row r="10" ht="48" customHeight="1">
      <x:c r="A10" s="63" t="str">
        <x:v>PV2-01-002</x:v>
      </x:c>
      <x:c r="B10" s="58" t="str">
        <x:v>01</x:v>
      </x:c>
      <x:c r="C10" s="58" t="str">
        <x:v>主流程</x:v>
      </x:c>
      <x:c r="D10" s="56" t="str">
        <x:v>这次想怎么旅行</x:v>
      </x:c>
      <x:c r="E10" s="56" t="str">
        <x:v>目的地状态</x:v>
      </x:c>
      <x:c r="F10" s="56" t="str">
        <x:v>目的地是否已经确定？</x:v>
      </x:c>
      <x:c r="G10" s="56" t="str">
        <x:v>单选卡片</x:v>
      </x:c>
      <x:c r="H10" s="56" t="str">
        <x:v>已确定 / 有几个备选 / 完全未定</x:v>
      </x:c>
      <x:c r="I10" s="58" t="str">
        <x:v>是</x:v>
      </x:c>
      <x:c r="J10" s="56" t="str">
        <x:v>始终显示</x:v>
      </x:c>
      <x:c r="K10" s="58" t="str">
        <x:v>enum</x:v>
      </x:c>
      <x:c r="L10" s="56" t="str">
        <x:v>trip.destination_status</x:v>
      </x:c>
      <x:c r="M10" s="58" t="str">
        <x:v>FACT</x:v>
      </x:c>
      <x:c r="N10" s="58" t="str">
        <x:v>一般</x:v>
      </x:c>
      <x:c r="O10" s="58" t="str">
        <x:v>V1已有改造</x:v>
      </x:c>
      <x:c r="P10" s="58" t="str">
        <x:v>P0</x:v>
      </x:c>
      <x:c r="Q10" s="58" t="str">
        <x:v>是</x:v>
      </x:c>
      <x:c r="R10" s="58" t="str">
        <x:v>旅行骨架</x:v>
      </x:c>
      <x:c r="S10" s="56" t="str">
        <x:v>决定进入目的地规划还是目的地发现模式</x:v>
      </x:c>
      <x:c r="T10" s="58" t="str">
        <x:v>01-01;02-01;02-03</x:v>
      </x:c>
      <x:c r="U10" s="56" t="str">
        <x:v>选择“未定”时不要求具体城市，转入目的地发现分支</x:v>
      </x:c>
      <x:c r="V10" s="64" t="str">
        <x:v>把V1“目的地尚未确定”从checkbox升级为流程分支</x:v>
      </x:c>
    </x:row>
    <x:row r="11" ht="48" customHeight="1">
      <x:c r="A11" s="63" t="str">
        <x:v>PV2-01-003</x:v>
      </x:c>
      <x:c r="B11" s="58" t="str">
        <x:v>01</x:v>
      </x:c>
      <x:c r="C11" s="58" t="str">
        <x:v>主流程</x:v>
      </x:c>
      <x:c r="D11" s="56" t="str">
        <x:v>这次想怎么旅行</x:v>
      </x:c>
      <x:c r="E11" s="56" t="str">
        <x:v>目的地</x:v>
      </x:c>
      <x:c r="F11" s="56" t="str">
        <x:v>目的地/备选目的地</x:v>
      </x:c>
      <x:c r="G11" s="56" t="str">
        <x:v>可增删地点选择器</x:v>
      </x:c>
      <x:c r="H11" s="56" t="str">
        <x:v>国家+城市；允许1~5个备选</x:v>
      </x:c>
      <x:c r="I11" s="58" t="str">
        <x:v>条件必填</x:v>
      </x:c>
      <x:c r="J11" s="56" t="str">
        <x:v>目的地状态=已确定/有备选</x:v>
      </x:c>
      <x:c r="K11" s="58" t="str">
        <x:v>array&lt;object&gt;</x:v>
      </x:c>
      <x:c r="L11" s="56" t="str">
        <x:v>trip.destinations</x:v>
      </x:c>
      <x:c r="M11" s="58" t="str">
        <x:v>FACT</x:v>
      </x:c>
      <x:c r="N11" s="58" t="str">
        <x:v>一般</x:v>
      </x:c>
      <x:c r="O11" s="58" t="str">
        <x:v>V1已有改造</x:v>
      </x:c>
      <x:c r="P11" s="58" t="str">
        <x:v>P0</x:v>
      </x:c>
      <x:c r="Q11" s="58" t="str">
        <x:v>是</x:v>
      </x:c>
      <x:c r="R11" s="58" t="str">
        <x:v>旅行骨架</x:v>
      </x:c>
      <x:c r="S11" s="56" t="str">
        <x:v>触发天气、签证、交通、活动、价格等全部目的地研究</x:v>
      </x:c>
      <x:c r="T11" s="58" t="str">
        <x:v>01-01;02-01;02-04;02-06</x:v>
      </x:c>
      <x:c r="U11" s="56" t="str">
        <x:v>至少1个；每个地点需解析到国家/城市</x:v>
      </x:c>
      <x:c r="V11" s="64" t="str">
        <x:v>为多目的地与备选目的地预留结构</x:v>
      </x:c>
    </x:row>
    <x:row r="12" ht="48" customHeight="1">
      <x:c r="A12" s="63" t="str">
        <x:v>PV2-01-004</x:v>
      </x:c>
      <x:c r="B12" s="58" t="str">
        <x:v>01</x:v>
      </x:c>
      <x:c r="C12" s="58" t="str">
        <x:v>主流程</x:v>
      </x:c>
      <x:c r="D12" s="56" t="str">
        <x:v>这次想怎么旅行</x:v>
      </x:c>
      <x:c r="E12" s="56" t="str">
        <x:v>日期</x:v>
      </x:c>
      <x:c r="F12" s="56" t="str">
        <x:v>出发日期与返回日期</x:v>
      </x:c>
      <x:c r="G12" s="56" t="str">
        <x:v>日期区间选择器</x:v>
      </x:c>
      <x:c r="H12" s="56" t="str">
        <x:v>YYYY-MM-DD ~ YYYY-MM-DD</x:v>
      </x:c>
      <x:c r="I12" s="58" t="str">
        <x:v>是</x:v>
      </x:c>
      <x:c r="J12" s="56" t="str">
        <x:v>始终显示</x:v>
      </x:c>
      <x:c r="K12" s="58" t="str">
        <x:v>date_range</x:v>
      </x:c>
      <x:c r="L12" s="56" t="str">
        <x:v>trip.dates</x:v>
      </x:c>
      <x:c r="M12" s="58" t="str">
        <x:v>FACT</x:v>
      </x:c>
      <x:c r="N12" s="58" t="str">
        <x:v>一般</x:v>
      </x:c>
      <x:c r="O12" s="58" t="str">
        <x:v>V1已有保留</x:v>
      </x:c>
      <x:c r="P12" s="58" t="str">
        <x:v>P0</x:v>
      </x:c>
      <x:c r="Q12" s="58" t="str">
        <x:v>是</x:v>
      </x:c>
      <x:c r="R12" s="58" t="str">
        <x:v>旅行骨架</x:v>
      </x:c>
      <x:c r="S12" s="56" t="str">
        <x:v>计算天数、季节、价格窗口和预订时点</x:v>
      </x:c>
      <x:c r="T12" s="58" t="str">
        <x:v>02-01;02-03;02-04</x:v>
      </x:c>
      <x:c r="U12" s="56" t="str">
        <x:v>返回日期不得早于出发日期；跨时区按当地日历日展示</x:v>
      </x:c>
      <x:c r="V12" s="64" t="str">
        <x:v>保留V1核心字段</x:v>
      </x:c>
    </x:row>
    <x:row r="13" ht="48" customHeight="1">
      <x:c r="A13" s="63" t="str">
        <x:v>PV2-01-005</x:v>
      </x:c>
      <x:c r="B13" s="58" t="str">
        <x:v>01</x:v>
      </x:c>
      <x:c r="C13" s="58" t="str">
        <x:v>主流程</x:v>
      </x:c>
      <x:c r="D13" s="56" t="str">
        <x:v>这次想怎么旅行</x:v>
      </x:c>
      <x:c r="E13" s="56" t="str">
        <x:v>日期</x:v>
      </x:c>
      <x:c r="F13" s="56" t="str">
        <x:v>日期弹性</x:v>
      </x:c>
      <x:c r="G13" s="56" t="str">
        <x:v>单选卡片</x:v>
      </x:c>
      <x:c r="H13" s="56" t="str">
        <x:v>固定 / ±1天 / ±3天 / 整周可调 / 月份确定日期未定</x:v>
      </x:c>
      <x:c r="I13" s="58" t="str">
        <x:v>是</x:v>
      </x:c>
      <x:c r="J13" s="56" t="str">
        <x:v>始终显示</x:v>
      </x:c>
      <x:c r="K13" s="58" t="str">
        <x:v>enum</x:v>
      </x:c>
      <x:c r="L13" s="56" t="str">
        <x:v>trip.date_flexibility</x:v>
      </x:c>
      <x:c r="M13" s="58" t="str">
        <x:v>FACT</x:v>
      </x:c>
      <x:c r="N13" s="58" t="str">
        <x:v>一般</x:v>
      </x:c>
      <x:c r="O13" s="58" t="str">
        <x:v>V1已有改造</x:v>
      </x:c>
      <x:c r="P13" s="58" t="str">
        <x:v>P0</x:v>
      </x:c>
      <x:c r="Q13" s="58" t="str">
        <x:v>否</x:v>
      </x:c>
      <x:c r="R13" s="58" t="str">
        <x:v>旅行骨架</x:v>
      </x:c>
      <x:c r="S13" s="56" t="str">
        <x:v>给机票、酒店、天气和活动优化留出搜索空间</x:v>
      </x:c>
      <x:c r="T13" s="58" t="str">
        <x:v>02-01;02-03;02-04</x:v>
      </x:c>
      <x:c r="U13" s="56" t="str">
        <x:v>若“日期固定”则日期区间必填；其他模式允许系统给出建议窗口</x:v>
      </x:c>
      <x:c r="V13" s="64" t="str">
        <x:v>V1 disabled字段应在V2启用</x:v>
      </x:c>
    </x:row>
    <x:row r="14" ht="48" customHeight="1">
      <x:c r="A14" s="63" t="str">
        <x:v>PV2-01-006</x:v>
      </x:c>
      <x:c r="B14" s="58" t="str">
        <x:v>01</x:v>
      </x:c>
      <x:c r="C14" s="58" t="str">
        <x:v>主流程</x:v>
      </x:c>
      <x:c r="D14" s="56" t="str">
        <x:v>这次想怎么旅行</x:v>
      </x:c>
      <x:c r="E14" s="56" t="str">
        <x:v>旅行目标</x:v>
      </x:c>
      <x:c r="F14" s="56" t="str">
        <x:v>这次旅行主要为了什么？</x:v>
      </x:c>
      <x:c r="G14" s="56" t="str">
        <x:v>多选卡片+其他</x:v>
      </x:c>
      <x:c r="H14" s="56" t="str">
        <x:v>休闲度假 / 蜜月纪念 / 亲子 / 美食 / 摄影 / 购物 / 滑雪 / 演出赛事 / 商务+休闲 / 探亲 / 其他</x:v>
      </x:c>
      <x:c r="I14" s="58" t="str">
        <x:v>是</x:v>
      </x:c>
      <x:c r="J14" s="56" t="str">
        <x:v>始终显示</x:v>
      </x:c>
      <x:c r="K14" s="58" t="str">
        <x:v>array&lt;enum&gt;</x:v>
      </x:c>
      <x:c r="L14" s="56" t="str">
        <x:v>profile.trip_purposes</x:v>
      </x:c>
      <x:c r="M14" s="58" t="str">
        <x:v>FACT</x:v>
      </x:c>
      <x:c r="N14" s="58" t="str">
        <x:v>一般</x:v>
      </x:c>
      <x:c r="O14" s="58" t="str">
        <x:v>V2新增</x:v>
      </x:c>
      <x:c r="P14" s="58" t="str">
        <x:v>P0</x:v>
      </x:c>
      <x:c r="Q14" s="58" t="str">
        <x:v>否</x:v>
      </x:c>
      <x:c r="R14" s="58" t="str">
        <x:v>优先满足</x:v>
      </x:c>
      <x:c r="S14" s="56" t="str">
        <x:v>建立行程设计原则与服务深度</x:v>
      </x:c>
      <x:c r="T14" s="58" t="str">
        <x:v>01-01</x:v>
      </x:c>
      <x:c r="U14" s="56" t="str">
        <x:v>至少选择1项，最多4项；“其他”需补充文字</x:v>
      </x:c>
      <x:c r="V14" s="64" t="str">
        <x:v>目的与兴趣分开，目的决定取舍</x:v>
      </x:c>
    </x:row>
    <x:row r="15" ht="48" customHeight="1">
      <x:c r="A15" s="63" t="str">
        <x:v>PV2-01-007</x:v>
      </x:c>
      <x:c r="B15" s="58" t="str">
        <x:v>01</x:v>
      </x:c>
      <x:c r="C15" s="58" t="str">
        <x:v>主流程</x:v>
      </x:c>
      <x:c r="D15" s="56" t="str">
        <x:v>这次想怎么旅行</x:v>
      </x:c>
      <x:c r="E15" s="56" t="str">
        <x:v>成功标准</x:v>
      </x:c>
      <x:c r="F15" s="56" t="str">
        <x:v>本次旅行最重要的3件事</x:v>
      </x:c>
      <x:c r="G15" s="56" t="str">
        <x:v>可排序多选卡片</x:v>
      </x:c>
      <x:c r="H15" s="56" t="str">
        <x:v>吃好 / 住好 / 少折腾 / 深度体验 / 拍照 / 亲子 / 购物 / 性价比 / 自由时间 / 其他</x:v>
      </x:c>
      <x:c r="I15" s="58" t="str">
        <x:v>是</x:v>
      </x:c>
      <x:c r="J15" s="56" t="str">
        <x:v>始终显示</x:v>
      </x:c>
      <x:c r="K15" s="58" t="str">
        <x:v>ranked_array</x:v>
      </x:c>
      <x:c r="L15" s="56" t="str">
        <x:v>profile.top_goals</x:v>
      </x:c>
      <x:c r="M15" s="58" t="str">
        <x:v>HARD</x:v>
      </x:c>
      <x:c r="N15" s="58" t="str">
        <x:v>一般</x:v>
      </x:c>
      <x:c r="O15" s="58" t="str">
        <x:v>V2新增</x:v>
      </x:c>
      <x:c r="P15" s="58" t="str">
        <x:v>P0</x:v>
      </x:c>
      <x:c r="Q15" s="58" t="str">
        <x:v>否</x:v>
      </x:c>
      <x:c r="R15" s="58" t="str">
        <x:v>必须满足</x:v>
      </x:c>
      <x:c r="S15" s="56" t="str">
        <x:v>用于冲突时的取舍顺序和推荐评分权重</x:v>
      </x:c>
      <x:c r="T15" s="58" t="str">
        <x:v>01-01</x:v>
      </x:c>
      <x:c r="U15" s="56" t="str">
        <x:v>必须排序1~3项；第1项权重最高</x:v>
      </x:c>
      <x:c r="V15" s="64" t="str">
        <x:v>这是V2个性化质量的关键字段</x:v>
      </x:c>
    </x:row>
    <x:row r="16" ht="48" customHeight="1">
      <x:c r="A16" s="63" t="str">
        <x:v>PV2-01-008</x:v>
      </x:c>
      <x:c r="B16" s="58" t="str">
        <x:v>01</x:v>
      </x:c>
      <x:c r="C16" s="58" t="str">
        <x:v>主流程</x:v>
      </x:c>
      <x:c r="D16" s="56" t="str">
        <x:v>这次想怎么旅行</x:v>
      </x:c>
      <x:c r="E16" s="56" t="str">
        <x:v>已有订单</x:v>
      </x:c>
      <x:c r="F16" s="56" t="str">
        <x:v>已经有哪些不可变的预订？</x:v>
      </x:c>
      <x:c r="G16" s="56" t="str">
        <x:v>多选卡片</x:v>
      </x:c>
      <x:c r="H16" s="56" t="str">
        <x:v>往返交通 / 酒店 / 门票活动 / 餐厅 / 接送 / 无</x:v>
      </x:c>
      <x:c r="I16" s="58" t="str">
        <x:v>是</x:v>
      </x:c>
      <x:c r="J16" s="56" t="str">
        <x:v>始终显示</x:v>
      </x:c>
      <x:c r="K16" s="58" t="str">
        <x:v>array&lt;enum&gt;</x:v>
      </x:c>
      <x:c r="L16" s="56" t="str">
        <x:v>trip.locked_order_types</x:v>
      </x:c>
      <x:c r="M16" s="58" t="str">
        <x:v>FACT</x:v>
      </x:c>
      <x:c r="N16" s="58" t="str">
        <x:v>一般</x:v>
      </x:c>
      <x:c r="O16" s="58" t="str">
        <x:v>V1已有改造</x:v>
      </x:c>
      <x:c r="P16" s="58" t="str">
        <x:v>P0</x:v>
      </x:c>
      <x:c r="Q16" s="58" t="str">
        <x:v>否</x:v>
      </x:c>
      <x:c r="R16" s="58" t="str">
        <x:v>旅行骨架</x:v>
      </x:c>
      <x:c r="S16" s="56" t="str">
        <x:v>建立Locked Constraint，避免方案覆盖已订资源</x:v>
      </x:c>
      <x:c r="T16" s="58" t="str">
        <x:v>04-02;06-03;09-02</x:v>
      </x:c>
      <x:c r="U16" s="56" t="str">
        <x:v>“无”与其他选项互斥</x:v>
      </x:c>
      <x:c r="V16" s="64" t="str">
        <x:v>V1已有订单从提示性checkbox升级为结构化锚点</x:v>
      </x:c>
    </x:row>
    <x:row r="17" ht="48" customHeight="1">
      <x:c r="A17" s="63" t="str">
        <x:v>PV2-01-009</x:v>
      </x:c>
      <x:c r="B17" s="58" t="str">
        <x:v>01</x:v>
      </x:c>
      <x:c r="C17" s="58" t="str">
        <x:v>条件触发</x:v>
      </x:c>
      <x:c r="D17" s="56" t="str">
        <x:v>这次想怎么旅行</x:v>
      </x:c>
      <x:c r="E17" s="56" t="str">
        <x:v>已有订单</x:v>
      </x:c>
      <x:c r="F17" s="56" t="str">
        <x:v>填写已有订单详情</x:v>
      </x:c>
      <x:c r="G17" s="56" t="str">
        <x:v>动态Repeater/订单卡</x:v>
      </x:c>
      <x:c r="H17" s="56" t="str">
        <x:v>类型、名称、日期时间、地点、订单号可选、是否可改退</x:v>
      </x:c>
      <x:c r="I17" s="58" t="str">
        <x:v>条件必填</x:v>
      </x:c>
      <x:c r="J17" s="56" t="str">
        <x:v>已选择任一已有订单</x:v>
      </x:c>
      <x:c r="K17" s="58" t="str">
        <x:v>array&lt;object&gt;</x:v>
      </x:c>
      <x:c r="L17" s="56" t="str">
        <x:v>trip.locked_orders</x:v>
      </x:c>
      <x:c r="M17" s="58" t="str">
        <x:v>HARD</x:v>
      </x:c>
      <x:c r="N17" s="58" t="str">
        <x:v>中等</x:v>
      </x:c>
      <x:c r="O17" s="58" t="str">
        <x:v>V2新增</x:v>
      </x:c>
      <x:c r="P17" s="58" t="str">
        <x:v>P0</x:v>
      </x:c>
      <x:c r="Q17" s="58" t="str">
        <x:v>是</x:v>
      </x:c>
      <x:c r="R17" s="58" t="str">
        <x:v>必须满足</x:v>
      </x:c>
      <x:c r="S17" s="56" t="str">
        <x:v>将具体预订转换为不可违反的日期/地点/时间约束</x:v>
      </x:c>
      <x:c r="T17" s="58" t="str">
        <x:v>04-02;04-04;06-03;06-04;09-02</x:v>
      </x:c>
      <x:c r="U17" s="56" t="str">
        <x:v>日期需落在或关联旅行窗口；至少填写名称+时间/日期+地点</x:v>
      </x:c>
      <x:c r="V17" s="64" t="str">
        <x:v>订单号可选，不默认采集敏感支付信息</x:v>
      </x:c>
    </x:row>
    <x:row r="18" ht="48" customHeight="1">
      <x:c r="A18" s="63" t="str">
        <x:v>PV2-02-001</x:v>
      </x:c>
      <x:c r="B18" s="58" t="str">
        <x:v>02</x:v>
      </x:c>
      <x:c r="C18" s="58" t="str">
        <x:v>主流程</x:v>
      </x:c>
      <x:c r="D18" s="56" t="str">
        <x:v>谁一起旅行</x:v>
      </x:c>
      <x:c r="E18" s="56" t="str">
        <x:v>人数</x:v>
      </x:c>
      <x:c r="F18" s="56" t="str">
        <x:v>同行人数</x:v>
      </x:c>
      <x:c r="G18" s="56" t="str">
        <x:v>计数器</x:v>
      </x:c>
      <x:c r="H18" s="56" t="str">
        <x:v>1~20人</x:v>
      </x:c>
      <x:c r="I18" s="58" t="str">
        <x:v>是</x:v>
      </x:c>
      <x:c r="J18" s="56" t="str">
        <x:v>始终显示</x:v>
      </x:c>
      <x:c r="K18" s="58" t="str">
        <x:v>integer</x:v>
      </x:c>
      <x:c r="L18" s="56" t="str">
        <x:v>travelers.count</x:v>
      </x:c>
      <x:c r="M18" s="58" t="str">
        <x:v>FACT</x:v>
      </x:c>
      <x:c r="N18" s="58" t="str">
        <x:v>一般</x:v>
      </x:c>
      <x:c r="O18" s="58" t="str">
        <x:v>V1已有改造</x:v>
      </x:c>
      <x:c r="P18" s="58" t="str">
        <x:v>P0</x:v>
      </x:c>
      <x:c r="Q18" s="58" t="str">
        <x:v>是</x:v>
      </x:c>
      <x:c r="R18" s="58" t="str">
        <x:v>旅行骨架</x:v>
      </x:c>
      <x:c r="S18" s="56" t="str">
        <x:v>决定票务、房型、预算和交通容量</x:v>
      </x:c>
      <x:c r="T18" s="58" t="str">
        <x:v>01-03</x:v>
      </x:c>
      <x:c r="U18" s="56" t="str">
        <x:v>&gt;=1；与Traveler Card数量一致</x:v>
      </x:c>
      <x:c r="V18" s="64" t="str">
        <x:v>不再仅按成人/儿童/老人三个计数器</x:v>
      </x:c>
    </x:row>
    <x:row r="19" ht="48" customHeight="1">
      <x:c r="A19" s="63" t="str">
        <x:v>PV2-02-002</x:v>
      </x:c>
      <x:c r="B19" s="58" t="str">
        <x:v>02</x:v>
      </x:c>
      <x:c r="C19" s="58" t="str">
        <x:v>主流程</x:v>
      </x:c>
      <x:c r="D19" s="56" t="str">
        <x:v>谁一起旅行</x:v>
      </x:c>
      <x:c r="E19" s="56" t="str">
        <x:v>旅行者档案</x:v>
      </x:c>
      <x:c r="F19" s="56" t="str">
        <x:v>每位旅行者的年龄段与同行关系</x:v>
      </x:c>
      <x:c r="G19" s="56" t="str">
        <x:v>Traveler Card Repeater</x:v>
      </x:c>
      <x:c r="H19" s="56" t="str">
        <x:v>本人/伴侣/朋友/儿童/父母/其他；年龄段或具体年龄</x:v>
      </x:c>
      <x:c r="I19" s="58" t="str">
        <x:v>是</x:v>
      </x:c>
      <x:c r="J19" s="56" t="str">
        <x:v>同行人数&gt;0</x:v>
      </x:c>
      <x:c r="K19" s="58" t="str">
        <x:v>array&lt;object&gt;</x:v>
      </x:c>
      <x:c r="L19" s="56" t="str">
        <x:v>travelers.profiles</x:v>
      </x:c>
      <x:c r="M19" s="58" t="str">
        <x:v>FACT</x:v>
      </x:c>
      <x:c r="N19" s="58" t="str">
        <x:v>中等</x:v>
      </x:c>
      <x:c r="O19" s="58" t="str">
        <x:v>V1已有改造</x:v>
      </x:c>
      <x:c r="P19" s="58" t="str">
        <x:v>P0</x:v>
      </x:c>
      <x:c r="Q19" s="58" t="str">
        <x:v>是</x:v>
      </x:c>
      <x:c r="R19" s="58" t="str">
        <x:v>旅行骨架</x:v>
      </x:c>
      <x:c r="S19" s="56" t="str">
        <x:v>判断儿童规则、房型、票价、体力和证件分支</x:v>
      </x:c>
      <x:c r="T19" s="58" t="str">
        <x:v>01-03;19-01;19-02;19-03</x:v>
      </x:c>
      <x:c r="U19" s="56" t="str">
        <x:v>每位旅行者至少年龄段+关系；儿童建议填写具体年龄</x:v>
      </x:c>
      <x:c r="V19" s="64" t="str">
        <x:v>避免用年龄直接推断行动能力</x:v>
      </x:c>
    </x:row>
    <x:row r="20" ht="48" customHeight="1">
      <x:c r="A20" s="63" t="str">
        <x:v>PV2-02-003</x:v>
      </x:c>
      <x:c r="B20" s="58" t="str">
        <x:v>02</x:v>
      </x:c>
      <x:c r="C20" s="58" t="str">
        <x:v>条件触发</x:v>
      </x:c>
      <x:c r="D20" s="56" t="str">
        <x:v>谁一起旅行</x:v>
      </x:c>
      <x:c r="E20" s="56" t="str">
        <x:v>未成年人</x:v>
      </x:c>
      <x:c r="F20" s="56" t="str">
        <x:v>未成年人由谁陪同？</x:v>
      </x:c>
      <x:c r="G20" s="56" t="str">
        <x:v>单选+补充</x:v>
      </x:c>
      <x:c r="H20" s="56" t="str">
        <x:v>双亲 / 单亲 / 非父母监护人 / 独自出行</x:v>
      </x:c>
      <x:c r="I20" s="58" t="str">
        <x:v>条件必填</x:v>
      </x:c>
      <x:c r="J20" s="56" t="str">
        <x:v>存在&lt;18岁旅行者</x:v>
      </x:c>
      <x:c r="K20" s="58" t="str">
        <x:v>enum</x:v>
      </x:c>
      <x:c r="L20" s="56" t="str">
        <x:v>travelers.minor_guardianship</x:v>
      </x:c>
      <x:c r="M20" s="58" t="str">
        <x:v>VERIFY</x:v>
      </x:c>
      <x:c r="N20" s="58" t="str">
        <x:v>敏感</x:v>
      </x:c>
      <x:c r="O20" s="58" t="str">
        <x:v>V2新增</x:v>
      </x:c>
      <x:c r="P20" s="58" t="str">
        <x:v>P0</x:v>
      </x:c>
      <x:c r="Q20" s="58" t="str">
        <x:v>是</x:v>
      </x:c>
      <x:c r="R20" s="58" t="str">
        <x:v>待确认</x:v>
      </x:c>
      <x:c r="S20" s="56" t="str">
        <x:v>触发未成年人授权、公证、航空公司规则核验</x:v>
      </x:c>
      <x:c r="T20" s="58" t="str">
        <x:v>03-06;19-01;19-02</x:v>
      </x:c>
      <x:c r="U20" s="56" t="str">
        <x:v>存在未成年人必须回答；不要求上传法律文件到主问卷</x:v>
      </x:c>
      <x:c r="V20" s="64" t="str">
        <x:v>只收判断规则所需的最少信息</x:v>
      </x:c>
    </x:row>
    <x:row r="21" ht="48" customHeight="1">
      <x:c r="A21" s="63" t="str">
        <x:v>PV2-02-004</x:v>
      </x:c>
      <x:c r="B21" s="58" t="str">
        <x:v>02</x:v>
      </x:c>
      <x:c r="C21" s="58" t="str">
        <x:v>主流程</x:v>
      </x:c>
      <x:c r="D21" s="56" t="str">
        <x:v>谁一起旅行</x:v>
      </x:c>
      <x:c r="E21" s="56" t="str">
        <x:v>行动能力</x:v>
      </x:c>
      <x:c r="F21" s="56" t="str">
        <x:v>整体步行/站立能力</x:v>
      </x:c>
      <x:c r="G21" s="56" t="str">
        <x:v>单选卡片</x:v>
      </x:c>
      <x:c r="H21" s="56" t="str">
        <x:v>正常 / 希望少走 / 不能久站 / 避免台阶 / 需要频繁休息</x:v>
      </x:c>
      <x:c r="I21" s="58" t="str">
        <x:v>否</x:v>
      </x:c>
      <x:c r="J21" s="56" t="str">
        <x:v>始终显示</x:v>
      </x:c>
      <x:c r="K21" s="58" t="str">
        <x:v>enum</x:v>
      </x:c>
      <x:c r="L21" s="56" t="str">
        <x:v>travelers.mobility_level</x:v>
      </x:c>
      <x:c r="M21" s="58" t="str">
        <x:v>HARD</x:v>
      </x:c>
      <x:c r="N21" s="58" t="str">
        <x:v>中等</x:v>
      </x:c>
      <x:c r="O21" s="58" t="str">
        <x:v>V1已有改造</x:v>
      </x:c>
      <x:c r="P21" s="58" t="str">
        <x:v>P0</x:v>
      </x:c>
      <x:c r="Q21" s="58" t="str">
        <x:v>否</x:v>
      </x:c>
      <x:c r="R21" s="58" t="str">
        <x:v>必须满足</x:v>
      </x:c>
      <x:c r="S21" s="56" t="str">
        <x:v>影响地理聚类、换乘、排队、无障碍与每日强度</x:v>
      </x:c>
      <x:c r="T21" s="58" t="str">
        <x:v>01-05;19-03;19-04</x:v>
      </x:c>
      <x:c r="U21" s="56" t="str">
        <x:v>不得仅根据年龄自动填写；用户可跳过</x:v>
      </x:c>
      <x:c r="V21" s="64" t="str">
        <x:v>与“日均步行接受度”互补</x:v>
      </x:c>
    </x:row>
    <x:row r="22" ht="48" customHeight="1">
      <x:c r="A22" s="63" t="str">
        <x:v>PV2-02-005</x:v>
      </x:c>
      <x:c r="B22" s="58" t="str">
        <x:v>02</x:v>
      </x:c>
      <x:c r="C22" s="58" t="str">
        <x:v>条件触发</x:v>
      </x:c>
      <x:c r="D22" s="56" t="str">
        <x:v>谁一起旅行</x:v>
      </x:c>
      <x:c r="E22" s="56" t="str">
        <x:v>儿童需求</x:v>
      </x:c>
      <x:c r="F22" s="56" t="str">
        <x:v>儿童出行需要哪些安排？</x:v>
      </x:c>
      <x:c r="G22" s="56" t="str">
        <x:v>多选</x:v>
      </x:c>
      <x:c r="H22" s="56" t="str">
        <x:v>婴儿车通行 / 儿童安全座椅 / 固定午睡 / 儿童餐 / 亲子房 / 其他</x:v>
      </x:c>
      <x:c r="I22" s="58" t="str">
        <x:v>条件必填</x:v>
      </x:c>
      <x:c r="J22" s="56" t="str">
        <x:v>存在儿童/婴幼儿</x:v>
      </x:c>
      <x:c r="K22" s="58" t="str">
        <x:v>array&lt;enum&gt;</x:v>
      </x:c>
      <x:c r="L22" s="56" t="str">
        <x:v>travelers.child_needs</x:v>
      </x:c>
      <x:c r="M22" s="58" t="str">
        <x:v>HARD</x:v>
      </x:c>
      <x:c r="N22" s="58" t="str">
        <x:v>中等</x:v>
      </x:c>
      <x:c r="O22" s="58" t="str">
        <x:v>V2新增</x:v>
      </x:c>
      <x:c r="P22" s="58" t="str">
        <x:v>P0</x:v>
      </x:c>
      <x:c r="Q22" s="58" t="str">
        <x:v>否</x:v>
      </x:c>
      <x:c r="R22" s="58" t="str">
        <x:v>必须满足</x:v>
      </x:c>
      <x:c r="S22" s="56" t="str">
        <x:v>触发交通、住宿、餐厅和行程时间约束</x:v>
      </x:c>
      <x:c r="T22" s="58" t="str">
        <x:v>10-06;19-01;19-02</x:v>
      </x:c>
      <x:c r="U22" s="56" t="str">
        <x:v>若选“固定午睡”继续采集时间窗；若选安全座椅触发交通供应商核验</x:v>
      </x:c>
      <x:c r="V22" s="64" t="str"/>
    </x:row>
    <x:row r="23" ht="48" customHeight="1">
      <x:c r="A23" s="63" t="str">
        <x:v>PV2-02-006</x:v>
      </x:c>
      <x:c r="B23" s="58" t="str">
        <x:v>02</x:v>
      </x:c>
      <x:c r="C23" s="58" t="str">
        <x:v>条件触发</x:v>
      </x:c>
      <x:c r="D23" s="56" t="str">
        <x:v>谁一起旅行</x:v>
      </x:c>
      <x:c r="E23" s="56" t="str">
        <x:v>分组需求</x:v>
      </x:c>
      <x:c r="F23" s="56" t="str">
        <x:v>同行人是否需要分房/分车/分开活动？</x:v>
      </x:c>
      <x:c r="G23" s="56" t="str">
        <x:v>多选+备注</x:v>
      </x:c>
      <x:c r="H23" s="56" t="str">
        <x:v>分房 / 分车 / 可分组活动 / 全程一起</x:v>
      </x:c>
      <x:c r="I23" s="58" t="str">
        <x:v>条件必填</x:v>
      </x:c>
      <x:c r="J23" s="56" t="str">
        <x:v>同行人数&gt;=3</x:v>
      </x:c>
      <x:c r="K23" s="58" t="str">
        <x:v>array&lt;enum&gt;</x:v>
      </x:c>
      <x:c r="L23" s="56" t="str">
        <x:v>travelers.grouping_needs</x:v>
      </x:c>
      <x:c r="M23" s="58" t="str">
        <x:v>FACT</x:v>
      </x:c>
      <x:c r="N23" s="58" t="str">
        <x:v>一般</x:v>
      </x:c>
      <x:c r="O23" s="58" t="str">
        <x:v>V2新增</x:v>
      </x:c>
      <x:c r="P23" s="58" t="str">
        <x:v>P1</x:v>
      </x:c>
      <x:c r="Q23" s="58" t="str">
        <x:v>否</x:v>
      </x:c>
      <x:c r="R23" s="58" t="str">
        <x:v>旅行骨架</x:v>
      </x:c>
      <x:c r="S23" s="56" t="str">
        <x:v>决定房间组合、车辆容量和多人行程分支</x:v>
      </x:c>
      <x:c r="T23" s="58" t="str">
        <x:v>01-03;06-02</x:v>
      </x:c>
      <x:c r="U23" s="56" t="str">
        <x:v>“全程一起”与其他可按产品策略互斥</x:v>
      </x:c>
      <x:c r="V23" s="64" t="str"/>
    </x:row>
    <x:row r="24" ht="48" customHeight="1">
      <x:c r="A24" s="63" t="str">
        <x:v>PV2-03-001</x:v>
      </x:c>
      <x:c r="B24" s="58" t="str">
        <x:v>03</x:v>
      </x:c>
      <x:c r="C24" s="58" t="str">
        <x:v>主流程</x:v>
      </x:c>
      <x:c r="D24" s="56" t="str">
        <x:v>准备花多少钱</x:v>
      </x:c>
      <x:c r="E24" s="56" t="str">
        <x:v>预算方式</x:v>
      </x:c>
      <x:c r="F24" s="56" t="str">
        <x:v>你更容易用哪种方式表达预算？</x:v>
      </x:c>
      <x:c r="G24" s="56" t="str">
        <x:v>单选卡片</x:v>
      </x:c>
      <x:c r="H24" s="56" t="str">
        <x:v>总预算 / 人均预算 / 旅行档次 / 暂无明确预算</x:v>
      </x:c>
      <x:c r="I24" s="58" t="str">
        <x:v>是</x:v>
      </x:c>
      <x:c r="J24" s="56" t="str">
        <x:v>始终显示</x:v>
      </x:c>
      <x:c r="K24" s="58" t="str">
        <x:v>enum</x:v>
      </x:c>
      <x:c r="L24" s="56" t="str">
        <x:v>budget.mode</x:v>
      </x:c>
      <x:c r="M24" s="58" t="str">
        <x:v>FACT</x:v>
      </x:c>
      <x:c r="N24" s="58" t="str">
        <x:v>一般</x:v>
      </x:c>
      <x:c r="O24" s="58" t="str">
        <x:v>V1已有改造</x:v>
      </x:c>
      <x:c r="P24" s="58" t="str">
        <x:v>P0</x:v>
      </x:c>
      <x:c r="Q24" s="58" t="str">
        <x:v>否</x:v>
      </x:c>
      <x:c r="R24" s="58" t="str">
        <x:v>旅行骨架</x:v>
      </x:c>
      <x:c r="S24" s="56" t="str">
        <x:v>决定预算输入方式与后续价格推算</x:v>
      </x:c>
      <x:c r="T24" s="58" t="str">
        <x:v>01-02;14-01</x:v>
      </x:c>
      <x:c r="U24" s="56" t="str">
        <x:v>根据选择动态显示金额或档次字段</x:v>
      </x:c>
      <x:c r="V24" s="64" t="str">
        <x:v>V2不再强制“人均/天”</x:v>
      </x:c>
    </x:row>
    <x:row r="25" ht="48" customHeight="1">
      <x:c r="A25" s="63" t="str">
        <x:v>PV2-03-002</x:v>
      </x:c>
      <x:c r="B25" s="58" t="str">
        <x:v>03</x:v>
      </x:c>
      <x:c r="C25" s="58" t="str">
        <x:v>主流程</x:v>
      </x:c>
      <x:c r="D25" s="56" t="str">
        <x:v>准备花多少钱</x:v>
      </x:c>
      <x:c r="E25" s="56" t="str">
        <x:v>币种</x:v>
      </x:c>
      <x:c r="F25" s="56" t="str">
        <x:v>预算币种</x:v>
      </x:c>
      <x:c r="G25" s="56" t="str">
        <x:v>下拉选择</x:v>
      </x:c>
      <x:c r="H25" s="56" t="str">
        <x:v>CNY / JPY / USD / EUR / GBP / HKD / 其他</x:v>
      </x:c>
      <x:c r="I25" s="58" t="str">
        <x:v>是</x:v>
      </x:c>
      <x:c r="J25" s="56" t="str">
        <x:v>预算模式≠暂无明确预算</x:v>
      </x:c>
      <x:c r="K25" s="58" t="str">
        <x:v>string</x:v>
      </x:c>
      <x:c r="L25" s="56" t="str">
        <x:v>budget.currency</x:v>
      </x:c>
      <x:c r="M25" s="58" t="str">
        <x:v>FACT</x:v>
      </x:c>
      <x:c r="N25" s="58" t="str">
        <x:v>一般</x:v>
      </x:c>
      <x:c r="O25" s="58" t="str">
        <x:v>V2新增</x:v>
      </x:c>
      <x:c r="P25" s="58" t="str">
        <x:v>P0</x:v>
      </x:c>
      <x:c r="Q25" s="58" t="str">
        <x:v>否</x:v>
      </x:c>
      <x:c r="R25" s="58" t="str">
        <x:v>旅行骨架</x:v>
      </x:c>
      <x:c r="S25" s="56" t="str">
        <x:v>统一报价、预算比较和汇率展示</x:v>
      </x:c>
      <x:c r="T25" s="58" t="str">
        <x:v>14-01;14-02</x:v>
      </x:c>
      <x:c r="U25" s="56" t="str">
        <x:v>ISO 4217币种代码</x:v>
      </x:c>
      <x:c r="V25" s="64" t="str"/>
    </x:row>
    <x:row r="26" ht="48" customHeight="1">
      <x:c r="A26" s="63" t="str">
        <x:v>PV2-03-003</x:v>
      </x:c>
      <x:c r="B26" s="58" t="str">
        <x:v>03</x:v>
      </x:c>
      <x:c r="C26" s="58" t="str">
        <x:v>主流程</x:v>
      </x:c>
      <x:c r="D26" s="56" t="str">
        <x:v>准备花多少钱</x:v>
      </x:c>
      <x:c r="E26" s="56" t="str">
        <x:v>预算范围</x:v>
      </x:c>
      <x:c r="F26" s="56" t="str">
        <x:v>目标预算范围</x:v>
      </x:c>
      <x:c r="G26" s="56" t="str">
        <x:v>金额区间输入</x:v>
      </x:c>
      <x:c r="H26" s="56" t="str">
        <x:v>例如 ¥25,000~¥35,000</x:v>
      </x:c>
      <x:c r="I26" s="58" t="str">
        <x:v>条件必填</x:v>
      </x:c>
      <x:c r="J26" s="56" t="str">
        <x:v>预算模式=总预算/人均预算</x:v>
      </x:c>
      <x:c r="K26" s="58" t="str">
        <x:v>money_range</x:v>
      </x:c>
      <x:c r="L26" s="56" t="str">
        <x:v>budget.target_range</x:v>
      </x:c>
      <x:c r="M26" s="58" t="str">
        <x:v>HARD</x:v>
      </x:c>
      <x:c r="N26" s="58" t="str">
        <x:v>中等</x:v>
      </x:c>
      <x:c r="O26" s="58" t="str">
        <x:v>V1已有改造</x:v>
      </x:c>
      <x:c r="P26" s="58" t="str">
        <x:v>P0</x:v>
      </x:c>
      <x:c r="Q26" s="58" t="str">
        <x:v>否</x:v>
      </x:c>
      <x:c r="R26" s="58" t="str">
        <x:v>必须满足</x:v>
      </x:c>
      <x:c r="S26" s="56" t="str">
        <x:v>作为推荐与价格优化的主要约束</x:v>
      </x:c>
      <x:c r="T26" s="58" t="str">
        <x:v>01-02;14-01</x:v>
      </x:c>
      <x:c r="U26" s="56" t="str">
        <x:v>最低&lt;=最高；不得为负；明确预算主体（总额或人均）</x:v>
      </x:c>
      <x:c r="V26" s="64" t="str"/>
    </x:row>
    <x:row r="27" ht="48" customHeight="1">
      <x:c r="A27" s="63" t="str">
        <x:v>PV2-03-004</x:v>
      </x:c>
      <x:c r="B27" s="58" t="str">
        <x:v>03</x:v>
      </x:c>
      <x:c r="C27" s="58" t="str">
        <x:v>主流程</x:v>
      </x:c>
      <x:c r="D27" s="56" t="str">
        <x:v>准备花多少钱</x:v>
      </x:c>
      <x:c r="E27" s="56" t="str">
        <x:v>旅行档次</x:v>
      </x:c>
      <x:c r="F27" s="56" t="str">
        <x:v>希望整体是什么档次？</x:v>
      </x:c>
      <x:c r="G27" s="56" t="str">
        <x:v>单选卡片</x:v>
      </x:c>
      <x:c r="H27" s="56" t="str">
        <x:v>经济 / 舒适 / 品质 / 奢华</x:v>
      </x:c>
      <x:c r="I27" s="58" t="str">
        <x:v>条件必填</x:v>
      </x:c>
      <x:c r="J27" s="56" t="str">
        <x:v>预算模式=旅行档次/暂无明确预算</x:v>
      </x:c>
      <x:c r="K27" s="58" t="str">
        <x:v>enum</x:v>
      </x:c>
      <x:c r="L27" s="56" t="str">
        <x:v>budget.travel_tier</x:v>
      </x:c>
      <x:c r="M27" s="58" t="str">
        <x:v>PREFER</x:v>
      </x:c>
      <x:c r="N27" s="58" t="str">
        <x:v>一般</x:v>
      </x:c>
      <x:c r="O27" s="58" t="str">
        <x:v>V1已有改造</x:v>
      </x:c>
      <x:c r="P27" s="58" t="str">
        <x:v>P0</x:v>
      </x:c>
      <x:c r="Q27" s="58" t="str">
        <x:v>否</x:v>
      </x:c>
      <x:c r="R27" s="58" t="str">
        <x:v>优先满足</x:v>
      </x:c>
      <x:c r="S27" s="56" t="str">
        <x:v>先表达体验等级，再由目的地价格水平换算金额</x:v>
      </x:c>
      <x:c r="T27" s="58" t="str">
        <x:v>01-02;14-01</x:v>
      </x:c>
      <x:c r="U27" s="56" t="str">
        <x:v>档次不绑定固定人民币/天；金额由目的地动态估算</x:v>
      </x:c>
      <x:c r="V27" s="64" t="str">
        <x:v>修正V1固定档位金额的地域失真</x:v>
      </x:c>
    </x:row>
    <x:row r="28" ht="48" customHeight="1">
      <x:c r="A28" s="63" t="str">
        <x:v>PV2-03-005</x:v>
      </x:c>
      <x:c r="B28" s="58" t="str">
        <x:v>03</x:v>
      </x:c>
      <x:c r="C28" s="58" t="str">
        <x:v>主流程</x:v>
      </x:c>
      <x:c r="D28" s="56" t="str">
        <x:v>准备花多少钱</x:v>
      </x:c>
      <x:c r="E28" s="56" t="str">
        <x:v>硬上限</x:v>
      </x:c>
      <x:c r="F28" s="56" t="str">
        <x:v>有没有绝对不能超过的金额？</x:v>
      </x:c>
      <x:c r="G28" s="56" t="str">
        <x:v>金额输入+开关</x:v>
      </x:c>
      <x:c r="H28" s="56" t="str">
        <x:v>无硬上限 / 指定金额</x:v>
      </x:c>
      <x:c r="I28" s="58" t="str">
        <x:v>否</x:v>
      </x:c>
      <x:c r="J28" s="56" t="str">
        <x:v>预算模式≠暂无明确预算</x:v>
      </x:c>
      <x:c r="K28" s="58" t="str">
        <x:v>money</x:v>
      </x:c>
      <x:c r="L28" s="56" t="str">
        <x:v>budget.hard_cap</x:v>
      </x:c>
      <x:c r="M28" s="58" t="str">
        <x:v>HARD</x:v>
      </x:c>
      <x:c r="N28" s="58" t="str">
        <x:v>中等</x:v>
      </x:c>
      <x:c r="O28" s="58" t="str">
        <x:v>V2新增</x:v>
      </x:c>
      <x:c r="P28" s="58" t="str">
        <x:v>P0</x:v>
      </x:c>
      <x:c r="Q28" s="58" t="str">
        <x:v>条件</x:v>
      </x:c>
      <x:c r="R28" s="58" t="str">
        <x:v>必须满足</x:v>
      </x:c>
      <x:c r="S28" s="56" t="str">
        <x:v>生成方案前进行预算越界校验</x:v>
      </x:c>
      <x:c r="T28" s="58" t="str">
        <x:v>14-01</x:v>
      </x:c>
      <x:c r="U28" s="56" t="str">
        <x:v>若填写必须&gt;=目标预算下限；硬上限优先级高于档次偏好</x:v>
      </x:c>
      <x:c r="V28" s="64" t="str"/>
    </x:row>
    <x:row r="29" ht="48" customHeight="1">
      <x:c r="A29" s="63" t="str">
        <x:v>PV2-03-006</x:v>
      </x:c>
      <x:c r="B29" s="58" t="str">
        <x:v>03</x:v>
      </x:c>
      <x:c r="C29" s="58" t="str">
        <x:v>主流程</x:v>
      </x:c>
      <x:c r="D29" s="56" t="str">
        <x:v>准备花多少钱</x:v>
      </x:c>
      <x:c r="E29" s="56" t="str">
        <x:v>预算组成与花钱重点</x:v>
      </x:c>
      <x:c r="F29" s="56" t="str">
        <x:v>预算包含哪些项目？哪些项目愿意多花？</x:v>
      </x:c>
      <x:c r="G29" s="56" t="str">
        <x:v>多选+三态标签</x:v>
      </x:c>
      <x:c r="H29" s="56" t="str">
        <x:v>往返交通/住宿/餐饮/市内交通/活动/购物；住宿品质/直飞/特色体验/交通便利</x:v>
      </x:c>
      <x:c r="I29" s="58" t="str">
        <x:v>是</x:v>
      </x:c>
      <x:c r="J29" s="56" t="str">
        <x:v>始终显示</x:v>
      </x:c>
      <x:c r="K29" s="58" t="str">
        <x:v>object</x:v>
      </x:c>
      <x:c r="L29" s="56" t="str">
        <x:v>budget.scope_and_priorities</x:v>
      </x:c>
      <x:c r="M29" s="58" t="str">
        <x:v>PREFER</x:v>
      </x:c>
      <x:c r="N29" s="58" t="str">
        <x:v>一般</x:v>
      </x:c>
      <x:c r="O29" s="58" t="str">
        <x:v>V1已有改造</x:v>
      </x:c>
      <x:c r="P29" s="58" t="str">
        <x:v>P0</x:v>
      </x:c>
      <x:c r="Q29" s="58" t="str">
        <x:v>否</x:v>
      </x:c>
      <x:c r="R29" s="58" t="str">
        <x:v>优先满足</x:v>
      </x:c>
      <x:c r="S29" s="56" t="str">
        <x:v>明确预算口径并给不同消费项权重</x:v>
      </x:c>
      <x:c r="T29" s="58" t="str">
        <x:v>01-02;14-01</x:v>
      </x:c>
      <x:c r="U29" s="56" t="str">
        <x:v>预算范围至少包含1项；消费重点最多建议3项</x:v>
      </x:c>
      <x:c r="V29" s="64" t="str">
        <x:v>整合V1“预算包含”与“重点花钱”</x:v>
      </x:c>
    </x:row>
    <x:row r="30" ht="48" customHeight="1">
      <x:c r="A30" s="63" t="str">
        <x:v>PV2-04-001</x:v>
      </x:c>
      <x:c r="B30" s="58" t="str">
        <x:v>04</x:v>
      </x:c>
      <x:c r="C30" s="58" t="str">
        <x:v>主流程</x:v>
      </x:c>
      <x:c r="D30" s="56" t="str">
        <x:v>旅行节奏与边界</x:v>
      </x:c>
      <x:c r="E30" s="56" t="str">
        <x:v>节奏</x:v>
      </x:c>
      <x:c r="F30" s="56" t="str">
        <x:v>整体旅行节奏</x:v>
      </x:c>
      <x:c r="G30" s="56" t="str">
        <x:v>5级滑块</x:v>
      </x:c>
      <x:c r="H30" s="56" t="str">
        <x:v>躺平度假 / 常规慢逛 / 均衡 / 充实 / 特种兵</x:v>
      </x:c>
      <x:c r="I30" s="58" t="str">
        <x:v>是</x:v>
      </x:c>
      <x:c r="J30" s="56" t="str">
        <x:v>始终显示</x:v>
      </x:c>
      <x:c r="K30" s="58" t="str">
        <x:v>integer</x:v>
      </x:c>
      <x:c r="L30" s="56" t="str">
        <x:v>pace.level</x:v>
      </x:c>
      <x:c r="M30" s="58" t="str">
        <x:v>PREFER</x:v>
      </x:c>
      <x:c r="N30" s="58" t="str">
        <x:v>一般</x:v>
      </x:c>
      <x:c r="O30" s="58" t="str">
        <x:v>V1已有保留</x:v>
      </x:c>
      <x:c r="P30" s="58" t="str">
        <x:v>P0</x:v>
      </x:c>
      <x:c r="Q30" s="58" t="str">
        <x:v>否</x:v>
      </x:c>
      <x:c r="R30" s="58" t="str">
        <x:v>优先满足</x:v>
      </x:c>
      <x:c r="S30" s="56" t="str">
        <x:v>设置每日活动密度和缓冲量</x:v>
      </x:c>
      <x:c r="T30" s="58" t="str">
        <x:v>01-05;10-02</x:v>
      </x:c>
      <x:c r="U30" s="56" t="str">
        <x:v>1~5；默认3</x:v>
      </x:c>
      <x:c r="V30" s="64" t="str"/>
    </x:row>
    <x:row r="31" ht="48" customHeight="1">
      <x:c r="A31" s="63" t="str">
        <x:v>PV2-04-002</x:v>
      </x:c>
      <x:c r="B31" s="58" t="str">
        <x:v>04</x:v>
      </x:c>
      <x:c r="C31" s="58" t="str">
        <x:v>主流程</x:v>
      </x:c>
      <x:c r="D31" s="56" t="str">
        <x:v>旅行节奏与边界</x:v>
      </x:c>
      <x:c r="E31" s="56" t="str">
        <x:v>作息</x:v>
      </x:c>
      <x:c r="F31" s="56" t="str">
        <x:v>最早出门与最晚结束时间</x:v>
      </x:c>
      <x:c r="G31" s="56" t="str">
        <x:v>双时间选择器</x:v>
      </x:c>
      <x:c r="H31" s="56" t="str">
        <x:v>09:00 / 21:30</x:v>
      </x:c>
      <x:c r="I31" s="58" t="str">
        <x:v>否</x:v>
      </x:c>
      <x:c r="J31" s="56" t="str">
        <x:v>始终显示</x:v>
      </x:c>
      <x:c r="K31" s="58" t="str">
        <x:v>time_range</x:v>
      </x:c>
      <x:c r="L31" s="56" t="str">
        <x:v>pace.daily_window</x:v>
      </x:c>
      <x:c r="M31" s="58" t="str">
        <x:v>HARD</x:v>
      </x:c>
      <x:c r="N31" s="58" t="str">
        <x:v>一般</x:v>
      </x:c>
      <x:c r="O31" s="58" t="str">
        <x:v>V1已有改造</x:v>
      </x:c>
      <x:c r="P31" s="58" t="str">
        <x:v>P0</x:v>
      </x:c>
      <x:c r="Q31" s="58" t="str">
        <x:v>否</x:v>
      </x:c>
      <x:c r="R31" s="58" t="str">
        <x:v>必须满足</x:v>
      </x:c>
      <x:c r="S31" s="56" t="str">
        <x:v>限制每天活动时间窗、红眼恢复和餐厅预订</x:v>
      </x:c>
      <x:c r="T31" s="58" t="str">
        <x:v>01-05;10-03</x:v>
      </x:c>
      <x:c r="U31" s="56" t="str">
        <x:v>开始&lt;结束；跨午夜需明确夜间活动模式</x:v>
      </x:c>
      <x:c r="V31" s="64" t="str">
        <x:v>V1只有最早出门，V2补最晚结束</x:v>
      </x:c>
    </x:row>
    <x:row r="32" ht="48" customHeight="1">
      <x:c r="A32" s="63" t="str">
        <x:v>PV2-04-003</x:v>
      </x:c>
      <x:c r="B32" s="58" t="str">
        <x:v>04</x:v>
      </x:c>
      <x:c r="C32" s="58" t="str">
        <x:v>主流程</x:v>
      </x:c>
      <x:c r="D32" s="56" t="str">
        <x:v>旅行节奏与边界</x:v>
      </x:c>
      <x:c r="E32" s="56" t="str">
        <x:v>步行</x:v>
      </x:c>
      <x:c r="F32" s="56" t="str">
        <x:v>每天可接受步行量</x:v>
      </x:c>
      <x:c r="G32" s="56" t="str">
        <x:v>分档选择器</x:v>
      </x:c>
      <x:c r="H32" s="56" t="str">
        <x:v>≤3km / 3~5km / 5~8km / 8~12km / 12km+</x:v>
      </x:c>
      <x:c r="I32" s="58" t="str">
        <x:v>否</x:v>
      </x:c>
      <x:c r="J32" s="56" t="str">
        <x:v>始终显示</x:v>
      </x:c>
      <x:c r="K32" s="58" t="str">
        <x:v>enum</x:v>
      </x:c>
      <x:c r="L32" s="56" t="str">
        <x:v>pace.walking_tolerance</x:v>
      </x:c>
      <x:c r="M32" s="58" t="str">
        <x:v>HARD</x:v>
      </x:c>
      <x:c r="N32" s="58" t="str">
        <x:v>一般</x:v>
      </x:c>
      <x:c r="O32" s="58" t="str">
        <x:v>V1已有改造</x:v>
      </x:c>
      <x:c r="P32" s="58" t="str">
        <x:v>P0</x:v>
      </x:c>
      <x:c r="Q32" s="58" t="str">
        <x:v>否</x:v>
      </x:c>
      <x:c r="R32" s="58" t="str">
        <x:v>必须满足</x:v>
      </x:c>
      <x:c r="S32" s="56" t="str">
        <x:v>控制地理聚类、交通替代和步行路线</x:v>
      </x:c>
      <x:c r="T32" s="58" t="str">
        <x:v>01-05;10-01</x:v>
      </x:c>
      <x:c r="U32" s="56" t="str">
        <x:v>不与行动能力冲突；若冲突取更保守值</x:v>
      </x:c>
      <x:c r="V32" s="64" t="str">
        <x:v>V1上限8km过窄，V2扩展</x:v>
      </x:c>
    </x:row>
    <x:row r="33" ht="48" customHeight="1">
      <x:c r="A33" s="63" t="str">
        <x:v>PV2-04-004</x:v>
      </x:c>
      <x:c r="B33" s="58" t="str">
        <x:v>04</x:v>
      </x:c>
      <x:c r="C33" s="58" t="str">
        <x:v>主流程</x:v>
      </x:c>
      <x:c r="D33" s="56" t="str">
        <x:v>旅行节奏与边界</x:v>
      </x:c>
      <x:c r="E33" s="56" t="str">
        <x:v>活动密度</x:v>
      </x:c>
      <x:c r="F33" s="56" t="str">
        <x:v>每天希望安排几个核心项目？</x:v>
      </x:c>
      <x:c r="G33" s="56" t="str">
        <x:v>单选</x:v>
      </x:c>
      <x:c r="H33" s="56" t="str">
        <x:v>1 / 2~3 / 4~5 / 尽量多 / 系统决定</x:v>
      </x:c>
      <x:c r="I33" s="58" t="str">
        <x:v>否</x:v>
      </x:c>
      <x:c r="J33" s="56" t="str">
        <x:v>始终显示</x:v>
      </x:c>
      <x:c r="K33" s="58" t="str">
        <x:v>enum</x:v>
      </x:c>
      <x:c r="L33" s="56" t="str">
        <x:v>pace.core_activities_per_day</x:v>
      </x:c>
      <x:c r="M33" s="58" t="str">
        <x:v>PREFER</x:v>
      </x:c>
      <x:c r="N33" s="58" t="str">
        <x:v>一般</x:v>
      </x:c>
      <x:c r="O33" s="58" t="str">
        <x:v>V1已有保留</x:v>
      </x:c>
      <x:c r="P33" s="58" t="str">
        <x:v>P1</x:v>
      </x:c>
      <x:c r="Q33" s="58" t="str">
        <x:v>否</x:v>
      </x:c>
      <x:c r="R33" s="58" t="str">
        <x:v>优先满足</x:v>
      </x:c>
      <x:c r="S33" s="56" t="str">
        <x:v>辅助估计可执行日程密度</x:v>
      </x:c>
      <x:c r="T33" s="58" t="str">
        <x:v>10-02</x:v>
      </x:c>
      <x:c r="U33" s="56" t="str">
        <x:v>与节奏等级联动但不强制同步</x:v>
      </x:c>
      <x:c r="V33" s="64" t="str"/>
    </x:row>
    <x:row r="34" ht="48" customHeight="1">
      <x:c r="A34" s="63" t="str">
        <x:v>PV2-04-005</x:v>
      </x:c>
      <x:c r="B34" s="58" t="str">
        <x:v>04</x:v>
      </x:c>
      <x:c r="C34" s="58" t="str">
        <x:v>主流程</x:v>
      </x:c>
      <x:c r="D34" s="56" t="str">
        <x:v>旅行节奏与边界</x:v>
      </x:c>
      <x:c r="E34" s="56" t="str">
        <x:v>自由时间</x:v>
      </x:c>
      <x:c r="F34" s="56" t="str">
        <x:v>每天希望留多少自由时间？</x:v>
      </x:c>
      <x:c r="G34" s="56" t="str">
        <x:v>单选</x:v>
      </x:c>
      <x:c r="H34" s="56" t="str">
        <x:v>几乎不留 / 1小时左右 / 2~3小时 / 半天 / 视情况</x:v>
      </x:c>
      <x:c r="I34" s="58" t="str">
        <x:v>否</x:v>
      </x:c>
      <x:c r="J34" s="56" t="str">
        <x:v>始终显示</x:v>
      </x:c>
      <x:c r="K34" s="58" t="str">
        <x:v>enum</x:v>
      </x:c>
      <x:c r="L34" s="56" t="str">
        <x:v>pace.free_time</x:v>
      </x:c>
      <x:c r="M34" s="58" t="str">
        <x:v>PREFER</x:v>
      </x:c>
      <x:c r="N34" s="58" t="str">
        <x:v>一般</x:v>
      </x:c>
      <x:c r="O34" s="58" t="str">
        <x:v>V2新增</x:v>
      </x:c>
      <x:c r="P34" s="58" t="str">
        <x:v>P1</x:v>
      </x:c>
      <x:c r="Q34" s="58" t="str">
        <x:v>否</x:v>
      </x:c>
      <x:c r="R34" s="58" t="str">
        <x:v>优先满足</x:v>
      </x:c>
      <x:c r="S34" s="56" t="str">
        <x:v>避免行程过满并保留临时探索空间</x:v>
      </x:c>
      <x:c r="T34" s="58" t="str">
        <x:v>10-05</x:v>
      </x:c>
      <x:c r="U34" s="56" t="str">
        <x:v>默认“1小时左右”或根据节奏推导</x:v>
      </x:c>
      <x:c r="V34" s="64" t="str"/>
    </x:row>
    <x:row r="35" ht="48" customHeight="1">
      <x:c r="A35" s="63" t="str">
        <x:v>PV2-04-006</x:v>
      </x:c>
      <x:c r="B35" s="58" t="str">
        <x:v>04</x:v>
      </x:c>
      <x:c r="C35" s="58" t="str">
        <x:v>条件触发</x:v>
      </x:c>
      <x:c r="D35" s="56" t="str">
        <x:v>旅行节奏与边界</x:v>
      </x:c>
      <x:c r="E35" s="56" t="str">
        <x:v>午休/儿童作息</x:v>
      </x:c>
      <x:c r="F35" s="56" t="str">
        <x:v>是否需要固定午休或午睡？</x:v>
      </x:c>
      <x:c r="G35" s="56" t="str">
        <x:v>开关+时间范围</x:v>
      </x:c>
      <x:c r="H35" s="56" t="str">
        <x:v>例如 13:00~15:00</x:v>
      </x:c>
      <x:c r="I35" s="58" t="str">
        <x:v>条件必填</x:v>
      </x:c>
      <x:c r="J35" s="56" t="str">
        <x:v>儿童需求含固定午睡/用户主动开启</x:v>
      </x:c>
      <x:c r="K35" s="58" t="str">
        <x:v>time_range</x:v>
      </x:c>
      <x:c r="L35" s="56" t="str">
        <x:v>pace.rest_window</x:v>
      </x:c>
      <x:c r="M35" s="58" t="str">
        <x:v>HARD</x:v>
      </x:c>
      <x:c r="N35" s="58" t="str">
        <x:v>一般</x:v>
      </x:c>
      <x:c r="O35" s="58" t="str">
        <x:v>V1已有改造</x:v>
      </x:c>
      <x:c r="P35" s="58" t="str">
        <x:v>P0</x:v>
      </x:c>
      <x:c r="Q35" s="58" t="str">
        <x:v>否</x:v>
      </x:c>
      <x:c r="R35" s="58" t="str">
        <x:v>必须满足</x:v>
      </x:c>
      <x:c r="S35" s="56" t="str">
        <x:v>锁定每日不可排活动的时间窗</x:v>
      </x:c>
      <x:c r="T35" s="58" t="str">
        <x:v>10-06;19-01</x:v>
      </x:c>
      <x:c r="U35" s="56" t="str">
        <x:v>开始&lt;结束；仅在相关旅行者适用</x:v>
      </x:c>
      <x:c r="V35" s="64" t="str"/>
    </x:row>
    <x:row r="36" ht="48" customHeight="1">
      <x:c r="A36" s="63" t="str">
        <x:v>PV2-04-007</x:v>
      </x:c>
      <x:c r="B36" s="58" t="str">
        <x:v>04</x:v>
      </x:c>
      <x:c r="C36" s="58" t="str">
        <x:v>主流程</x:v>
      </x:c>
      <x:c r="D36" s="56" t="str">
        <x:v>旅行节奏与边界</x:v>
      </x:c>
      <x:c r="E36" s="56" t="str">
        <x:v>换酒店容忍度</x:v>
      </x:c>
      <x:c r="F36" s="56" t="str">
        <x:v>最多愿意换几次住宿？</x:v>
      </x:c>
      <x:c r="G36" s="56" t="str">
        <x:v>单选</x:v>
      </x:c>
      <x:c r="H36" s="56" t="str">
        <x:v>0 / 1 / 2 / 3+ / 为体验可接受</x:v>
      </x:c>
      <x:c r="I36" s="58" t="str">
        <x:v>否</x:v>
      </x:c>
      <x:c r="J36" s="56" t="str">
        <x:v>多城市或目的地未定时优先显示</x:v>
      </x:c>
      <x:c r="K36" s="58" t="str">
        <x:v>enum</x:v>
      </x:c>
      <x:c r="L36" s="56" t="str">
        <x:v>pace.hotel_change_tolerance</x:v>
      </x:c>
      <x:c r="M36" s="58" t="str">
        <x:v>HARD</x:v>
      </x:c>
      <x:c r="N36" s="58" t="str">
        <x:v>一般</x:v>
      </x:c>
      <x:c r="O36" s="58" t="str">
        <x:v>V1已有改造</x:v>
      </x:c>
      <x:c r="P36" s="58" t="str">
        <x:v>P0</x:v>
      </x:c>
      <x:c r="Q36" s="58" t="str">
        <x:v>否</x:v>
      </x:c>
      <x:c r="R36" s="58" t="str">
        <x:v>必须满足</x:v>
      </x:c>
      <x:c r="S36" s="56" t="str">
        <x:v>系统据此推导单点、双中心、多城市或环线路线结构</x:v>
      </x:c>
      <x:c r="T36" s="58" t="str">
        <x:v>10-01;06-01</x:v>
      </x:c>
      <x:c r="U36" s="56" t="str">
        <x:v>不直接要求普通用户理解“中心辐射”等规划术语</x:v>
      </x:c>
      <x:c r="V36" s="64" t="str">
        <x:v>替代V1核心路线结构问题，原路线结构可移到高级设置</x:v>
      </x:c>
    </x:row>
    <x:row r="37" ht="48" customHeight="1">
      <x:c r="A37" s="63" t="str">
        <x:v>PV2-04-008</x:v>
      </x:c>
      <x:c r="B37" s="58" t="str">
        <x:v>04</x:v>
      </x:c>
      <x:c r="C37" s="58" t="str">
        <x:v>主流程</x:v>
      </x:c>
      <x:c r="D37" s="56" t="str">
        <x:v>旅行节奏与边界</x:v>
      </x:c>
      <x:c r="E37" s="56" t="str">
        <x:v>风险容忍</x:v>
      </x:c>
      <x:c r="F37" s="56" t="str">
        <x:v>哪些方式你不能接受？</x:v>
      </x:c>
      <x:c r="G37" s="56" t="str">
        <x:v>多选排除标签</x:v>
      </x:c>
      <x:c r="H37" s="56" t="str">
        <x:v>红眼航班 / 夜间长途交通 / 多次转机 / 偏远地区 / 临时变更 / 高风险活动 / 长时间排队</x:v>
      </x:c>
      <x:c r="I37" s="58" t="str">
        <x:v>否</x:v>
      </x:c>
      <x:c r="J37" s="56" t="str">
        <x:v>始终显示</x:v>
      </x:c>
      <x:c r="K37" s="58" t="str">
        <x:v>array&lt;enum&gt;</x:v>
      </x:c>
      <x:c r="L37" s="56" t="str">
        <x:v>risk.exclusions</x:v>
      </x:c>
      <x:c r="M37" s="58" t="str">
        <x:v>EXCLUDE</x:v>
      </x:c>
      <x:c r="N37" s="58" t="str">
        <x:v>一般</x:v>
      </x:c>
      <x:c r="O37" s="58" t="str">
        <x:v>V2新增</x:v>
      </x:c>
      <x:c r="P37" s="58" t="str">
        <x:v>P0</x:v>
      </x:c>
      <x:c r="Q37" s="58" t="str">
        <x:v>否</x:v>
      </x:c>
      <x:c r="R37" s="58" t="str">
        <x:v>明确不要</x:v>
      </x:c>
      <x:c r="S37" s="56" t="str">
        <x:v>建立安全与舒适边界，提前过滤高风险方案</x:v>
      </x:c>
      <x:c r="T37" s="58" t="str">
        <x:v>01-08;04-02;05-04;09-06;12-04</x:v>
      </x:c>
      <x:c r="U37" s="56" t="str">
        <x:v>排除项不得被模型主动违反；若无可行方案需回问</x:v>
      </x:c>
      <x:c r="V37" s="64" t="str"/>
    </x:row>
    <x:row r="38" ht="48" customHeight="1">
      <x:c r="A38" s="63" t="str">
        <x:v>PV2-05-001</x:v>
      </x:c>
      <x:c r="B38" s="58" t="str">
        <x:v>05</x:v>
      </x:c>
      <x:c r="C38" s="58" t="str">
        <x:v>主流程</x:v>
      </x:c>
      <x:c r="D38" s="56" t="str">
        <x:v>怎么去、怎么移动</x:v>
      </x:c>
      <x:c r="E38" s="56" t="str">
        <x:v>跨城交通</x:v>
      </x:c>
      <x:c r="F38" s="56" t="str">
        <x:v>偏好的跨城交通方式</x:v>
      </x:c>
      <x:c r="G38" s="56" t="str">
        <x:v>三态标签</x:v>
      </x:c>
      <x:c r="H38" s="56" t="str">
        <x:v>飞机 / 高铁铁路 / 长途巴士 / 轮渡 / 自驾</x:v>
      </x:c>
      <x:c r="I38" s="58" t="str">
        <x:v>否</x:v>
      </x:c>
      <x:c r="J38" s="56" t="str">
        <x:v>存在跨城/多目的地</x:v>
      </x:c>
      <x:c r="K38" s="58" t="str">
        <x:v>array&lt;stance&gt;</x:v>
      </x:c>
      <x:c r="L38" s="56" t="str">
        <x:v>transport.intercity_modes</x:v>
      </x:c>
      <x:c r="M38" s="58" t="str">
        <x:v>PREFER</x:v>
      </x:c>
      <x:c r="N38" s="58" t="str">
        <x:v>一般</x:v>
      </x:c>
      <x:c r="O38" s="58" t="str">
        <x:v>V1已有改造</x:v>
      </x:c>
      <x:c r="P38" s="58" t="str">
        <x:v>P0</x:v>
      </x:c>
      <x:c r="Q38" s="58" t="str">
        <x:v>否</x:v>
      </x:c>
      <x:c r="R38" s="58" t="str">
        <x:v>优先满足</x:v>
      </x:c>
      <x:c r="S38" s="56" t="str">
        <x:v>选择跨城方式并评估时间/成本/风险</x:v>
      </x:c>
      <x:c r="T38" s="58" t="str">
        <x:v>04-02;04-07;05-05</x:v>
      </x:c>
      <x:c r="U38" s="56" t="str">
        <x:v>支持偏好/必须/不要；无选择表示系统决定</x:v>
      </x:c>
      <x:c r="V38" s="64" t="str"/>
    </x:row>
    <x:row r="39" ht="48" customHeight="1">
      <x:c r="A39" s="63" t="str">
        <x:v>PV2-05-002</x:v>
      </x:c>
      <x:c r="B39" s="58" t="str">
        <x:v>05</x:v>
      </x:c>
      <x:c r="C39" s="58" t="str">
        <x:v>主流程</x:v>
      </x:c>
      <x:c r="D39" s="56" t="str">
        <x:v>怎么去、怎么移动</x:v>
      </x:c>
      <x:c r="E39" s="56" t="str">
        <x:v>航班约束</x:v>
      </x:c>
      <x:c r="F39" s="56" t="str">
        <x:v>对直飞和转机有什么要求？</x:v>
      </x:c>
      <x:c r="G39" s="56" t="str">
        <x:v>单选+多选</x:v>
      </x:c>
      <x:c r="H39" s="56" t="str">
        <x:v>只接受直飞 / 优先直飞 / 最多1次转机 / 可多次转机；不红眼</x:v>
      </x:c>
      <x:c r="I39" s="58" t="str">
        <x:v>否</x:v>
      </x:c>
      <x:c r="J39" s="56" t="str">
        <x:v>涉及航空交通</x:v>
      </x:c>
      <x:c r="K39" s="58" t="str">
        <x:v>object</x:v>
      </x:c>
      <x:c r="L39" s="56" t="str">
        <x:v>transport.flight_constraints</x:v>
      </x:c>
      <x:c r="M39" s="58" t="str">
        <x:v>HARD</x:v>
      </x:c>
      <x:c r="N39" s="58" t="str">
        <x:v>一般</x:v>
      </x:c>
      <x:c r="O39" s="58" t="str">
        <x:v>V2新增</x:v>
      </x:c>
      <x:c r="P39" s="58" t="str">
        <x:v>P0</x:v>
      </x:c>
      <x:c r="Q39" s="58" t="str">
        <x:v>条件</x:v>
      </x:c>
      <x:c r="R39" s="58" t="str">
        <x:v>必须满足</x:v>
      </x:c>
      <x:c r="S39" s="56" t="str">
        <x:v>航线筛选和过境风险控制</x:v>
      </x:c>
      <x:c r="T39" s="58" t="str">
        <x:v>04-02;04-03;03-03</x:v>
      </x:c>
      <x:c r="U39" s="56" t="str">
        <x:v>若选只直飞则不可推荐转机；转机需触发过境核验</x:v>
      </x:c>
      <x:c r="V39" s="64" t="str"/>
    </x:row>
    <x:row r="40" ht="48" customHeight="1">
      <x:c r="A40" s="63" t="str">
        <x:v>PV2-05-003</x:v>
      </x:c>
      <x:c r="B40" s="58" t="str">
        <x:v>05</x:v>
      </x:c>
      <x:c r="C40" s="58" t="str">
        <x:v>条件触发</x:v>
      </x:c>
      <x:c r="D40" s="56" t="str">
        <x:v>怎么去、怎么移动</x:v>
      </x:c>
      <x:c r="E40" s="56" t="str">
        <x:v>飞行舒适度</x:v>
      </x:c>
      <x:c r="F40" s="56" t="str">
        <x:v>偏好舱等与座位</x:v>
      </x:c>
      <x:c r="G40" s="56" t="str">
        <x:v>多选/单选</x:v>
      </x:c>
      <x:c r="H40" s="56" t="str">
        <x:v>经济 / 超经 / 商务 / 头等；靠窗/过道/连座</x:v>
      </x:c>
      <x:c r="I40" s="58" t="str">
        <x:v>否</x:v>
      </x:c>
      <x:c r="J40" s="56" t="str">
        <x:v>涉及航空交通</x:v>
      </x:c>
      <x:c r="K40" s="58" t="str">
        <x:v>object</x:v>
      </x:c>
      <x:c r="L40" s="56" t="str">
        <x:v>transport.flight_comfort</x:v>
      </x:c>
      <x:c r="M40" s="58" t="str">
        <x:v>PREFER</x:v>
      </x:c>
      <x:c r="N40" s="58" t="str">
        <x:v>一般</x:v>
      </x:c>
      <x:c r="O40" s="58" t="str">
        <x:v>V2新增</x:v>
      </x:c>
      <x:c r="P40" s="58" t="str">
        <x:v>P1</x:v>
      </x:c>
      <x:c r="Q40" s="58" t="str">
        <x:v>否</x:v>
      </x:c>
      <x:c r="R40" s="58" t="str">
        <x:v>优先满足</x:v>
      </x:c>
      <x:c r="S40" s="56" t="str">
        <x:v>影响票价、座位与长途舒适度</x:v>
      </x:c>
      <x:c r="T40" s="58" t="str">
        <x:v>04-04;04-05</x:v>
      </x:c>
      <x:c r="U40" s="56" t="str">
        <x:v>多人时可支持“儿童需相邻”等硬约束</x:v>
      </x:c>
      <x:c r="V40" s="64" t="str"/>
    </x:row>
    <x:row r="41" ht="48" customHeight="1">
      <x:c r="A41" s="63" t="str">
        <x:v>PV2-05-004</x:v>
      </x:c>
      <x:c r="B41" s="58" t="str">
        <x:v>05</x:v>
      </x:c>
      <x:c r="C41" s="58" t="str">
        <x:v>主流程</x:v>
      </x:c>
      <x:c r="D41" s="56" t="str">
        <x:v>怎么去、怎么移动</x:v>
      </x:c>
      <x:c r="E41" s="56" t="str">
        <x:v>出行时间偏好</x:v>
      </x:c>
      <x:c r="F41" s="56" t="str">
        <x:v>更喜欢什么时间出发/抵达？</x:v>
      </x:c>
      <x:c r="G41" s="56" t="str">
        <x:v>多选时间段</x:v>
      </x:c>
      <x:c r="H41" s="56" t="str">
        <x:v>清晨 / 上午 / 下午 / 晚间；避免深夜抵达</x:v>
      </x:c>
      <x:c r="I41" s="58" t="str">
        <x:v>否</x:v>
      </x:c>
      <x:c r="J41" s="56" t="str">
        <x:v>涉及长途交通</x:v>
      </x:c>
      <x:c r="K41" s="58" t="str">
        <x:v>object</x:v>
      </x:c>
      <x:c r="L41" s="56" t="str">
        <x:v>transport.time_preferences</x:v>
      </x:c>
      <x:c r="M41" s="58" t="str">
        <x:v>PREFER</x:v>
      </x:c>
      <x:c r="N41" s="58" t="str">
        <x:v>一般</x:v>
      </x:c>
      <x:c r="O41" s="58" t="str">
        <x:v>V2新增</x:v>
      </x:c>
      <x:c r="P41" s="58" t="str">
        <x:v>P1</x:v>
      </x:c>
      <x:c r="Q41" s="58" t="str">
        <x:v>否</x:v>
      </x:c>
      <x:c r="R41" s="58" t="str">
        <x:v>优先满足</x:v>
      </x:c>
      <x:c r="S41" s="56" t="str">
        <x:v>减少红眼、夜间接驳和首末日损耗</x:v>
      </x:c>
      <x:c r="T41" s="58" t="str">
        <x:v>04-02;04-06;05-02</x:v>
      </x:c>
      <x:c r="U41" s="56" t="str">
        <x:v>若与已有订单冲突，以Locked Constraint为准</x:v>
      </x:c>
      <x:c r="V41" s="64" t="str"/>
    </x:row>
    <x:row r="42" ht="48" customHeight="1">
      <x:c r="A42" s="63" t="str">
        <x:v>PV2-05-005</x:v>
      </x:c>
      <x:c r="B42" s="58" t="str">
        <x:v>05</x:v>
      </x:c>
      <x:c r="C42" s="58" t="str">
        <x:v>主流程</x:v>
      </x:c>
      <x:c r="D42" s="56" t="str">
        <x:v>怎么去、怎么移动</x:v>
      </x:c>
      <x:c r="E42" s="56" t="str">
        <x:v>当地交通</x:v>
      </x:c>
      <x:c r="F42" s="56" t="str">
        <x:v>到当地后更偏好怎么移动？</x:v>
      </x:c>
      <x:c r="G42" s="56" t="str">
        <x:v>三态标签</x:v>
      </x:c>
      <x:c r="H42" s="56" t="str">
        <x:v>公共交通 / 步行 / 打车网约车 / 包车 / 骑行</x:v>
      </x:c>
      <x:c r="I42" s="58" t="str">
        <x:v>否</x:v>
      </x:c>
      <x:c r="J42" s="56" t="str">
        <x:v>始终显示</x:v>
      </x:c>
      <x:c r="K42" s="58" t="str">
        <x:v>array&lt;stance&gt;</x:v>
      </x:c>
      <x:c r="L42" s="56" t="str">
        <x:v>transport.local_modes</x:v>
      </x:c>
      <x:c r="M42" s="58" t="str">
        <x:v>PREFER</x:v>
      </x:c>
      <x:c r="N42" s="58" t="str">
        <x:v>一般</x:v>
      </x:c>
      <x:c r="O42" s="58" t="str">
        <x:v>V1已有改造</x:v>
      </x:c>
      <x:c r="P42" s="58" t="str">
        <x:v>P0</x:v>
      </x:c>
      <x:c r="Q42" s="58" t="str">
        <x:v>否</x:v>
      </x:c>
      <x:c r="R42" s="58" t="str">
        <x:v>优先满足</x:v>
      </x:c>
      <x:c r="S42" s="56" t="str">
        <x:v>形成市内移动策略并控制换乘/步行</x:v>
      </x:c>
      <x:c r="T42" s="58" t="str">
        <x:v>05-01;05-03;05-08</x:v>
      </x:c>
      <x:c r="U42" s="56" t="str">
        <x:v>支持偏好/必须/不要</x:v>
      </x:c>
      <x:c r="V42" s="64" t="str"/>
    </x:row>
    <x:row r="43" ht="48" customHeight="1">
      <x:c r="A43" s="63" t="str">
        <x:v>PV2-05-006</x:v>
      </x:c>
      <x:c r="B43" s="58" t="str">
        <x:v>05</x:v>
      </x:c>
      <x:c r="C43" s="58" t="str">
        <x:v>条件触发</x:v>
      </x:c>
      <x:c r="D43" s="56" t="str">
        <x:v>怎么去、怎么移动</x:v>
      </x:c>
      <x:c r="E43" s="56" t="str">
        <x:v>自驾</x:v>
      </x:c>
      <x:c r="F43" s="56" t="str">
        <x:v>自驾计划详情</x:v>
      </x:c>
      <x:c r="G43" s="56" t="str">
        <x:v>动态表单</x:v>
      </x:c>
      <x:c r="H43" s="56" t="str">
        <x:v>驾驶人年龄、驾龄、是否持驾照/IDP、车型需求</x:v>
      </x:c>
      <x:c r="I43" s="58" t="str">
        <x:v>条件必填</x:v>
      </x:c>
      <x:c r="J43" s="56" t="str">
        <x:v>选择自驾=偏好或必须</x:v>
      </x:c>
      <x:c r="K43" s="58" t="str">
        <x:v>object</x:v>
      </x:c>
      <x:c r="L43" s="56" t="str">
        <x:v>transport.self_drive</x:v>
      </x:c>
      <x:c r="M43" s="58" t="str">
        <x:v>VERIFY</x:v>
      </x:c>
      <x:c r="N43" s="58" t="str">
        <x:v>敏感</x:v>
      </x:c>
      <x:c r="O43" s="58" t="str">
        <x:v>V2新增</x:v>
      </x:c>
      <x:c r="P43" s="58" t="str">
        <x:v>P0</x:v>
      </x:c>
      <x:c r="Q43" s="58" t="str">
        <x:v>是</x:v>
      </x:c>
      <x:c r="R43" s="58" t="str">
        <x:v>待确认</x:v>
      </x:c>
      <x:c r="S43" s="56" t="str">
        <x:v>核验合法驾驶、租车条款、道路规则、停车</x:v>
      </x:c>
      <x:c r="T43" s="58" t="str">
        <x:v>03-07;05-05;05-06;05-07</x:v>
      </x:c>
      <x:c r="U43" s="56" t="str">
        <x:v>不在主问卷采集驾照号码；只采集核验条件</x:v>
      </x:c>
      <x:c r="V43" s="64" t="str"/>
    </x:row>
    <x:row r="44" ht="48" customHeight="1">
      <x:c r="A44" s="63" t="str">
        <x:v>PV2-05-007</x:v>
      </x:c>
      <x:c r="B44" s="58" t="str">
        <x:v>05</x:v>
      </x:c>
      <x:c r="C44" s="58" t="str">
        <x:v>条件触发</x:v>
      </x:c>
      <x:c r="D44" s="56" t="str">
        <x:v>怎么去、怎么移动</x:v>
      </x:c>
      <x:c r="E44" s="56" t="str">
        <x:v>行李</x:v>
      </x:c>
      <x:c r="F44" s="56" t="str">
        <x:v>长途交通时预计带多少行李？</x:v>
      </x:c>
      <x:c r="G44" s="56" t="str">
        <x:v>计数器+类型</x:v>
      </x:c>
      <x:c r="H44" s="56" t="str">
        <x:v>随身件数 / 托运行李件数 / 大件器材</x:v>
      </x:c>
      <x:c r="I44" s="58" t="str">
        <x:v>否</x:v>
      </x:c>
      <x:c r="J44" s="56" t="str">
        <x:v>涉及航空/铁路/租车</x:v>
      </x:c>
      <x:c r="K44" s="58" t="str">
        <x:v>object</x:v>
      </x:c>
      <x:c r="L44" s="56" t="str">
        <x:v>transport.luggage_profile</x:v>
      </x:c>
      <x:c r="M44" s="58" t="str">
        <x:v>FACT</x:v>
      </x:c>
      <x:c r="N44" s="58" t="str">
        <x:v>一般</x:v>
      </x:c>
      <x:c r="O44" s="58" t="str">
        <x:v>V2新增</x:v>
      </x:c>
      <x:c r="P44" s="58" t="str">
        <x:v>P1</x:v>
      </x:c>
      <x:c r="Q44" s="58" t="str">
        <x:v>否</x:v>
      </x:c>
      <x:c r="R44" s="58" t="str">
        <x:v>旅行骨架</x:v>
      </x:c>
      <x:c r="S44" s="56" t="str">
        <x:v>判断票价行李规则、车辆空间、搬运行程</x:v>
      </x:c>
      <x:c r="T44" s="58" t="str">
        <x:v>17-01;17-02;17-05</x:v>
      </x:c>
      <x:c r="U44" s="56" t="str">
        <x:v>件数&gt;=0；特殊器材触发行李规则核验</x:v>
      </x:c>
      <x:c r="V44" s="64" t="str"/>
    </x:row>
    <x:row r="45" ht="48" customHeight="1">
      <x:c r="A45" s="63" t="str">
        <x:v>PV2-06-001</x:v>
      </x:c>
      <x:c r="B45" s="58" t="str">
        <x:v>06</x:v>
      </x:c>
      <x:c r="C45" s="58" t="str">
        <x:v>主流程</x:v>
      </x:c>
      <x:c r="D45" s="56" t="str">
        <x:v>想住什么样</x:v>
      </x:c>
      <x:c r="E45" s="56" t="str">
        <x:v>住宿类型</x:v>
      </x:c>
      <x:c r="F45" s="56" t="str">
        <x:v>偏好的住宿类型</x:v>
      </x:c>
      <x:c r="G45" s="56" t="str">
        <x:v>三态标签</x:v>
      </x:c>
      <x:c r="H45" s="56" t="str">
        <x:v>酒店 / 民宿 / 公寓 / 度假村 / 青旅</x:v>
      </x:c>
      <x:c r="I45" s="58" t="str">
        <x:v>否</x:v>
      </x:c>
      <x:c r="J45" s="56" t="str">
        <x:v>始终显示</x:v>
      </x:c>
      <x:c r="K45" s="58" t="str">
        <x:v>array&lt;stance&gt;</x:v>
      </x:c>
      <x:c r="L45" s="56" t="str">
        <x:v>lodging.types</x:v>
      </x:c>
      <x:c r="M45" s="58" t="str">
        <x:v>PREFER</x:v>
      </x:c>
      <x:c r="N45" s="58" t="str">
        <x:v>一般</x:v>
      </x:c>
      <x:c r="O45" s="58" t="str">
        <x:v>V1已有保留</x:v>
      </x:c>
      <x:c r="P45" s="58" t="str">
        <x:v>P0</x:v>
      </x:c>
      <x:c r="Q45" s="58" t="str">
        <x:v>否</x:v>
      </x:c>
      <x:c r="R45" s="58" t="str">
        <x:v>优先满足</x:v>
      </x:c>
      <x:c r="S45" s="56" t="str">
        <x:v>建立住宿候选池</x:v>
      </x:c>
      <x:c r="T45" s="58" t="str">
        <x:v>01-06;06-01</x:v>
      </x:c>
      <x:c r="U45" s="56" t="str">
        <x:v>支持偏好/必须/不要；无选择由系统推荐</x:v>
      </x:c>
      <x:c r="V45" s="64" t="str"/>
    </x:row>
    <x:row r="46" ht="48" customHeight="1">
      <x:c r="A46" s="63" t="str">
        <x:v>PV2-06-002</x:v>
      </x:c>
      <x:c r="B46" s="58" t="str">
        <x:v>06</x:v>
      </x:c>
      <x:c r="C46" s="58" t="str">
        <x:v>主流程</x:v>
      </x:c>
      <x:c r="D46" s="56" t="str">
        <x:v>想住什么样</x:v>
      </x:c>
      <x:c r="E46" s="56" t="str">
        <x:v>房间数量</x:v>
      </x:c>
      <x:c r="F46" s="56" t="str">
        <x:v>需要几间房？</x:v>
      </x:c>
      <x:c r="G46" s="56" t="str">
        <x:v>计数器</x:v>
      </x:c>
      <x:c r="H46" s="56" t="str">
        <x:v>1~10间</x:v>
      </x:c>
      <x:c r="I46" s="58" t="str">
        <x:v>是</x:v>
      </x:c>
      <x:c r="J46" s="56" t="str">
        <x:v>始终显示</x:v>
      </x:c>
      <x:c r="K46" s="58" t="str">
        <x:v>integer</x:v>
      </x:c>
      <x:c r="L46" s="56" t="str">
        <x:v>lodging.rooms_count</x:v>
      </x:c>
      <x:c r="M46" s="58" t="str">
        <x:v>FACT</x:v>
      </x:c>
      <x:c r="N46" s="58" t="str">
        <x:v>一般</x:v>
      </x:c>
      <x:c r="O46" s="58" t="str">
        <x:v>V2新增</x:v>
      </x:c>
      <x:c r="P46" s="58" t="str">
        <x:v>P0</x:v>
      </x:c>
      <x:c r="Q46" s="58" t="str">
        <x:v>是</x:v>
      </x:c>
      <x:c r="R46" s="58" t="str">
        <x:v>旅行骨架</x:v>
      </x:c>
      <x:c r="S46" s="56" t="str">
        <x:v>保证住宿可订性与预算计算</x:v>
      </x:c>
      <x:c r="T46" s="58" t="str">
        <x:v>06-02</x:v>
      </x:c>
      <x:c r="U46" s="56" t="str">
        <x:v>&gt;=1；与同行人数/房型配置逻辑一致</x:v>
      </x:c>
      <x:c r="V46" s="64" t="str"/>
    </x:row>
    <x:row r="47" ht="48" customHeight="1">
      <x:c r="A47" s="63" t="str">
        <x:v>PV2-06-003</x:v>
      </x:c>
      <x:c r="B47" s="58" t="str">
        <x:v>06</x:v>
      </x:c>
      <x:c r="C47" s="58" t="str">
        <x:v>主流程</x:v>
      </x:c>
      <x:c r="D47" s="56" t="str">
        <x:v>想住什么样</x:v>
      </x:c>
      <x:c r="E47" s="56" t="str">
        <x:v>床型/房间关系</x:v>
      </x:c>
      <x:c r="F47" s="56" t="str">
        <x:v>床型与房间关系要求</x:v>
      </x:c>
      <x:c r="G47" s="56" t="str">
        <x:v>多选+Repeater</x:v>
      </x:c>
      <x:c r="H47" s="56" t="str">
        <x:v>大床 / 双床 / 加床 / 连通房 / 家庭房 / 分房</x:v>
      </x:c>
      <x:c r="I47" s="58" t="str">
        <x:v>是</x:v>
      </x:c>
      <x:c r="J47" s="56" t="str">
        <x:v>始终显示</x:v>
      </x:c>
      <x:c r="K47" s="58" t="str">
        <x:v>array&lt;object&gt;</x:v>
      </x:c>
      <x:c r="L47" s="56" t="str">
        <x:v>lodging.room_configuration</x:v>
      </x:c>
      <x:c r="M47" s="58" t="str">
        <x:v>HARD</x:v>
      </x:c>
      <x:c r="N47" s="58" t="str">
        <x:v>一般</x:v>
      </x:c>
      <x:c r="O47" s="58" t="str">
        <x:v>V2新增</x:v>
      </x:c>
      <x:c r="P47" s="58" t="str">
        <x:v>P0</x:v>
      </x:c>
      <x:c r="Q47" s="58" t="str">
        <x:v>是</x:v>
      </x:c>
      <x:c r="R47" s="58" t="str">
        <x:v>必须满足</x:v>
      </x:c>
      <x:c r="S47" s="56" t="str">
        <x:v>住宿搜索最关键的硬约束之一</x:v>
      </x:c>
      <x:c r="T47" s="58" t="str">
        <x:v>06-02</x:v>
      </x:c>
      <x:c r="U47" s="56" t="str">
        <x:v>房间配置必须能够容纳全部旅行者；连通房标记为需供应商确认</x:v>
      </x:c>
      <x:c r="V47" s="64" t="str"/>
    </x:row>
    <x:row r="48" ht="48" customHeight="1">
      <x:c r="A48" s="63" t="str">
        <x:v>PV2-06-004</x:v>
      </x:c>
      <x:c r="B48" s="58" t="str">
        <x:v>06</x:v>
      </x:c>
      <x:c r="C48" s="58" t="str">
        <x:v>主流程</x:v>
      </x:c>
      <x:c r="D48" s="56" t="str">
        <x:v>想住什么样</x:v>
      </x:c>
      <x:c r="E48" s="56" t="str">
        <x:v>住宿预算</x:v>
      </x:c>
      <x:c r="F48" s="56" t="str">
        <x:v>住宿每晚预算</x:v>
      </x:c>
      <x:c r="G48" s="56" t="str">
        <x:v>金额区间+币种继承</x:v>
      </x:c>
      <x:c r="H48" s="56" t="str">
        <x:v>例如 ¥800~¥1,500/晚</x:v>
      </x:c>
      <x:c r="I48" s="58" t="str">
        <x:v>否</x:v>
      </x:c>
      <x:c r="J48" s="56" t="str">
        <x:v>预算模式允许细分时显示</x:v>
      </x:c>
      <x:c r="K48" s="58" t="str">
        <x:v>money_range</x:v>
      </x:c>
      <x:c r="L48" s="56" t="str">
        <x:v>lodging.nightly_budget</x:v>
      </x:c>
      <x:c r="M48" s="58" t="str">
        <x:v>HARD</x:v>
      </x:c>
      <x:c r="N48" s="58" t="str">
        <x:v>中等</x:v>
      </x:c>
      <x:c r="O48" s="58" t="str">
        <x:v>V2新增</x:v>
      </x:c>
      <x:c r="P48" s="58" t="str">
        <x:v>P1</x:v>
      </x:c>
      <x:c r="Q48" s="58" t="str">
        <x:v>否</x:v>
      </x:c>
      <x:c r="R48" s="58" t="str">
        <x:v>必须满足</x:v>
      </x:c>
      <x:c r="S48" s="56" t="str">
        <x:v>把总预算分配到住宿并缩小候选范围</x:v>
      </x:c>
      <x:c r="T48" s="58" t="str">
        <x:v>01-06;14-01</x:v>
      </x:c>
      <x:c r="U48" s="56" t="str">
        <x:v>若与总预算冲突，提示而非静默覆盖</x:v>
      </x:c>
      <x:c r="V48" s="64" t="str"/>
    </x:row>
    <x:row r="49" ht="48" customHeight="1">
      <x:c r="A49" s="63" t="str">
        <x:v>PV2-06-005</x:v>
      </x:c>
      <x:c r="B49" s="58" t="str">
        <x:v>06</x:v>
      </x:c>
      <x:c r="C49" s="58" t="str">
        <x:v>主流程</x:v>
      </x:c>
      <x:c r="D49" s="56" t="str">
        <x:v>想住什么样</x:v>
      </x:c>
      <x:c r="E49" s="56" t="str">
        <x:v>地段优先级</x:v>
      </x:c>
      <x:c r="F49" s="56" t="str">
        <x:v>住宿更看重什么？</x:v>
      </x:c>
      <x:c r="G49" s="56" t="str">
        <x:v>可排序多选</x:v>
      </x:c>
      <x:c r="H49" s="56" t="str">
        <x:v>交通便利 / 景点步行可达 / 安静 / 夜生活 / 购物 / 海景自然 / 酒店本身</x:v>
      </x:c>
      <x:c r="I49" s="58" t="str">
        <x:v>否</x:v>
      </x:c>
      <x:c r="J49" s="56" t="str">
        <x:v>始终显示</x:v>
      </x:c>
      <x:c r="K49" s="58" t="str">
        <x:v>ranked_array</x:v>
      </x:c>
      <x:c r="L49" s="56" t="str">
        <x:v>lodging.location_priorities</x:v>
      </x:c>
      <x:c r="M49" s="58" t="str">
        <x:v>PREFER</x:v>
      </x:c>
      <x:c r="N49" s="58" t="str">
        <x:v>一般</x:v>
      </x:c>
      <x:c r="O49" s="58" t="str">
        <x:v>V2新增</x:v>
      </x:c>
      <x:c r="P49" s="58" t="str">
        <x:v>P0</x:v>
      </x:c>
      <x:c r="Q49" s="58" t="str">
        <x:v>否</x:v>
      </x:c>
      <x:c r="R49" s="58" t="str">
        <x:v>优先满足</x:v>
      </x:c>
      <x:c r="S49" s="56" t="str">
        <x:v>用于区域选择和每日通勤成本优化</x:v>
      </x:c>
      <x:c r="T49" s="58" t="str">
        <x:v>06-01;12-07</x:v>
      </x:c>
      <x:c r="U49" s="56" t="str">
        <x:v>最多排序3项</x:v>
      </x:c>
      <x:c r="V49" s="64" t="str"/>
    </x:row>
    <x:row r="50" ht="48" customHeight="1">
      <x:c r="A50" s="63" t="str">
        <x:v>PV2-06-006</x:v>
      </x:c>
      <x:c r="B50" s="58" t="str">
        <x:v>06</x:v>
      </x:c>
      <x:c r="C50" s="58" t="str">
        <x:v>主流程</x:v>
      </x:c>
      <x:c r="D50" s="56" t="str">
        <x:v>想住什么样</x:v>
      </x:c>
      <x:c r="E50" s="56" t="str">
        <x:v>酒店等级与品牌</x:v>
      </x:c>
      <x:c r="F50" s="56" t="str">
        <x:v>对星级/品牌有要求吗？</x:v>
      </x:c>
      <x:c r="G50" s="56" t="str">
        <x:v>单选+搜索</x:v>
      </x:c>
      <x:c r="H50" s="56" t="str">
        <x:v>无要求 / 3星+ / 4星+ / 5星；品牌偏好可选</x:v>
      </x:c>
      <x:c r="I50" s="58" t="str">
        <x:v>否</x:v>
      </x:c>
      <x:c r="J50" s="56" t="str">
        <x:v>住宿类型含酒店/度假村</x:v>
      </x:c>
      <x:c r="K50" s="58" t="str">
        <x:v>object</x:v>
      </x:c>
      <x:c r="L50" s="56" t="str">
        <x:v>lodging.class_and_brand</x:v>
      </x:c>
      <x:c r="M50" s="58" t="str">
        <x:v>PREFER</x:v>
      </x:c>
      <x:c r="N50" s="58" t="str">
        <x:v>一般</x:v>
      </x:c>
      <x:c r="O50" s="58" t="str">
        <x:v>V2新增</x:v>
      </x:c>
      <x:c r="P50" s="58" t="str">
        <x:v>P1</x:v>
      </x:c>
      <x:c r="Q50" s="58" t="str">
        <x:v>否</x:v>
      </x:c>
      <x:c r="R50" s="58" t="str">
        <x:v>优先满足</x:v>
      </x:c>
      <x:c r="S50" s="56" t="str">
        <x:v>缩小酒店候选并与会员权益联动</x:v>
      </x:c>
      <x:c r="T50" s="58" t="str">
        <x:v>01-06</x:v>
      </x:c>
      <x:c r="U50" s="56" t="str">
        <x:v>品牌为空不限制；星级仅作目的地可比参考</x:v>
      </x:c>
      <x:c r="V50" s="64" t="str"/>
    </x:row>
    <x:row r="51" ht="48" customHeight="1">
      <x:c r="A51" s="63" t="str">
        <x:v>PV2-06-007</x:v>
      </x:c>
      <x:c r="B51" s="58" t="str">
        <x:v>06</x:v>
      </x:c>
      <x:c r="C51" s="58" t="str">
        <x:v>主流程</x:v>
      </x:c>
      <x:c r="D51" s="56" t="str">
        <x:v>想住什么样</x:v>
      </x:c>
      <x:c r="E51" s="56" t="str">
        <x:v>设施与舒适</x:v>
      </x:c>
      <x:c r="F51" s="56" t="str">
        <x:v>住宿必须/偏好的设施</x:v>
      </x:c>
      <x:c r="G51" s="56" t="str">
        <x:v>三态标签</x:v>
      </x:c>
      <x:c r="H51" s="56" t="str">
        <x:v>电梯 / 独立卫浴 / 早餐 / 厨房 / 洗衣 / 浴缸 / 健身房 / 泳池 / 工作区 / 24小时前台</x:v>
      </x:c>
      <x:c r="I51" s="58" t="str">
        <x:v>否</x:v>
      </x:c>
      <x:c r="J51" s="56" t="str">
        <x:v>始终显示</x:v>
      </x:c>
      <x:c r="K51" s="58" t="str">
        <x:v>array&lt;stance&gt;</x:v>
      </x:c>
      <x:c r="L51" s="56" t="str">
        <x:v>lodging.amenities</x:v>
      </x:c>
      <x:c r="M51" s="58" t="str">
        <x:v>PREFER</x:v>
      </x:c>
      <x:c r="N51" s="58" t="str">
        <x:v>一般</x:v>
      </x:c>
      <x:c r="O51" s="58" t="str">
        <x:v>V1已有改造</x:v>
      </x:c>
      <x:c r="P51" s="58" t="str">
        <x:v>P0</x:v>
      </x:c>
      <x:c r="Q51" s="58" t="str">
        <x:v>否</x:v>
      </x:c>
      <x:c r="R51" s="58" t="str">
        <x:v>优先满足</x:v>
      </x:c>
      <x:c r="S51" s="56" t="str">
        <x:v>细化住宿筛选并服务特殊人群</x:v>
      </x:c>
      <x:c r="T51" s="58" t="str">
        <x:v>06-05;06-07;06-08</x:v>
      </x:c>
      <x:c r="U51" s="56" t="str">
        <x:v>轮椅、电梯等安全/无障碍项若为实际需求应自动升级HARD</x:v>
      </x:c>
      <x:c r="V51" s="64" t="str"/>
    </x:row>
    <x:row r="52" ht="48" customHeight="1">
      <x:c r="A52" s="63" t="str">
        <x:v>PV2-06-008</x:v>
      </x:c>
      <x:c r="B52" s="58" t="str">
        <x:v>06</x:v>
      </x:c>
      <x:c r="C52" s="58" t="str">
        <x:v>条件触发</x:v>
      </x:c>
      <x:c r="D52" s="56" t="str">
        <x:v>想住什么样</x:v>
      </x:c>
      <x:c r="E52" s="56" t="str">
        <x:v>睡眠/入住</x:v>
      </x:c>
      <x:c r="F52" s="56" t="str">
        <x:v>睡眠和入住有什么硬要求？</x:v>
      </x:c>
      <x:c r="G52" s="56" t="str">
        <x:v>多选+时间</x:v>
      </x:c>
      <x:c r="H52" s="56" t="str">
        <x:v>非常安静 / 高楼层 / 非吸烟 / 晚到入住 / 提前入住 / 晚退房</x:v>
      </x:c>
      <x:c r="I52" s="58" t="str">
        <x:v>否</x:v>
      </x:c>
      <x:c r="J52" s="56" t="str">
        <x:v>有相关偏好或抵达时间特殊</x:v>
      </x:c>
      <x:c r="K52" s="58" t="str">
        <x:v>object</x:v>
      </x:c>
      <x:c r="L52" s="56" t="str">
        <x:v>lodging.sleep_checkin_needs</x:v>
      </x:c>
      <x:c r="M52" s="58" t="str">
        <x:v>HARD</x:v>
      </x:c>
      <x:c r="N52" s="58" t="str">
        <x:v>一般</x:v>
      </x:c>
      <x:c r="O52" s="58" t="str">
        <x:v>V2新增</x:v>
      </x:c>
      <x:c r="P52" s="58" t="str">
        <x:v>P1</x:v>
      </x:c>
      <x:c r="Q52" s="58" t="str">
        <x:v>否</x:v>
      </x:c>
      <x:c r="R52" s="58" t="str">
        <x:v>必须满足</x:v>
      </x:c>
      <x:c r="S52" s="56" t="str">
        <x:v>避免噪音、深夜无法入住和首末日断点</x:v>
      </x:c>
      <x:c r="T52" s="58" t="str">
        <x:v>06-04;06-06</x:v>
      </x:c>
      <x:c r="U52" s="56" t="str">
        <x:v>晚到时间超过前台时间时必须进入VERIFY</x:v>
      </x:c>
      <x:c r="V52" s="64" t="str"/>
    </x:row>
    <x:row r="53" ht="48" customHeight="1">
      <x:c r="A53" s="63" t="str">
        <x:v>PV2-07-001</x:v>
      </x:c>
      <x:c r="B53" s="58" t="str">
        <x:v>07</x:v>
      </x:c>
      <x:c r="C53" s="58" t="str">
        <x:v>主流程</x:v>
      </x:c>
      <x:c r="D53" s="56" t="str">
        <x:v>想吃什么、玩什么</x:v>
      </x:c>
      <x:c r="E53" s="56" t="str">
        <x:v>餐饮兴趣</x:v>
      </x:c>
      <x:c r="F53" s="56" t="str">
        <x:v>喜欢哪些餐饮体验？</x:v>
      </x:c>
      <x:c r="G53" s="56" t="str">
        <x:v>多选标签</x:v>
      </x:c>
      <x:c r="H53" s="56" t="str">
        <x:v>当地特色 / Fine Dining / 街头美食 / 市场 / 咖啡甜品 / 酒吧居酒屋 / 中餐 / 日料 / 西餐</x:v>
      </x:c>
      <x:c r="I53" s="58" t="str">
        <x:v>否</x:v>
      </x:c>
      <x:c r="J53" s="56" t="str">
        <x:v>始终显示</x:v>
      </x:c>
      <x:c r="K53" s="58" t="str">
        <x:v>array&lt;enum&gt;</x:v>
      </x:c>
      <x:c r="L53" s="56" t="str">
        <x:v>food.experience_tags</x:v>
      </x:c>
      <x:c r="M53" s="58" t="str">
        <x:v>PREFER</x:v>
      </x:c>
      <x:c r="N53" s="58" t="str">
        <x:v>一般</x:v>
      </x:c>
      <x:c r="O53" s="58" t="str">
        <x:v>V1已有改造</x:v>
      </x:c>
      <x:c r="P53" s="58" t="str">
        <x:v>P0</x:v>
      </x:c>
      <x:c r="Q53" s="58" t="str">
        <x:v>否</x:v>
      </x:c>
      <x:c r="R53" s="58" t="str">
        <x:v>优先满足</x:v>
      </x:c>
      <x:c r="S53" s="56" t="str">
        <x:v>建立餐饮候选池和每日餐饮组合</x:v>
      </x:c>
      <x:c r="T53" s="58" t="str">
        <x:v>01-07;07-01</x:v>
      </x:c>
      <x:c r="U53" s="56" t="str">
        <x:v>最多建议6项，支持搜索扩展</x:v>
      </x:c>
      <x:c r="V53" s="64" t="str"/>
    </x:row>
    <x:row r="54" ht="48" customHeight="1">
      <x:c r="A54" s="63" t="str">
        <x:v>PV2-07-002</x:v>
      </x:c>
      <x:c r="B54" s="58" t="str">
        <x:v>07</x:v>
      </x:c>
      <x:c r="C54" s="58" t="str">
        <x:v>主流程</x:v>
      </x:c>
      <x:c r="D54" s="56" t="str">
        <x:v>想吃什么、玩什么</x:v>
      </x:c>
      <x:c r="E54" s="56" t="str">
        <x:v>饮食要求</x:v>
      </x:c>
      <x:c r="F54" s="56" t="str">
        <x:v>是否有必须遵守的饮食方式？</x:v>
      </x:c>
      <x:c r="G54" s="56" t="str">
        <x:v>多选</x:v>
      </x:c>
      <x:c r="H54" s="56" t="str">
        <x:v>素食 / 纯素 / 清真 / 犹太洁食 / 不吃辣 / 不饮酒 / 其他 / 无</x:v>
      </x:c>
      <x:c r="I54" s="58" t="str">
        <x:v>是</x:v>
      </x:c>
      <x:c r="J54" s="56" t="str">
        <x:v>始终显示</x:v>
      </x:c>
      <x:c r="K54" s="58" t="str">
        <x:v>array&lt;enum&gt;</x:v>
      </x:c>
      <x:c r="L54" s="56" t="str">
        <x:v>food.dietary_requirements</x:v>
      </x:c>
      <x:c r="M54" s="58" t="str">
        <x:v>HARD</x:v>
      </x:c>
      <x:c r="N54" s="58" t="str">
        <x:v>敏感</x:v>
      </x:c>
      <x:c r="O54" s="58" t="str">
        <x:v>V1已有改造</x:v>
      </x:c>
      <x:c r="P54" s="58" t="str">
        <x:v>P0</x:v>
      </x:c>
      <x:c r="Q54" s="58" t="str">
        <x:v>是</x:v>
      </x:c>
      <x:c r="R54" s="58" t="str">
        <x:v>必须满足</x:v>
      </x:c>
      <x:c r="S54" s="56" t="str">
        <x:v>过滤餐厅和菜单，避免文化/健康风险</x:v>
      </x:c>
      <x:c r="T54" s="58" t="str">
        <x:v>01-07;07-04;19-08</x:v>
      </x:c>
      <x:c r="U54" s="56" t="str">
        <x:v>“无”与其他互斥；宗教/饮食要求不使用三态循环</x:v>
      </x:c>
      <x:c r="V54" s="64" t="str"/>
    </x:row>
    <x:row r="55" ht="48" customHeight="1">
      <x:c r="A55" s="63" t="str">
        <x:v>PV2-07-003</x:v>
      </x:c>
      <x:c r="B55" s="58" t="str">
        <x:v>07</x:v>
      </x:c>
      <x:c r="C55" s="58" t="str">
        <x:v>主流程</x:v>
      </x:c>
      <x:c r="D55" s="56" t="str">
        <x:v>想吃什么、玩什么</x:v>
      </x:c>
      <x:c r="E55" s="56" t="str">
        <x:v>食物过敏</x:v>
      </x:c>
      <x:c r="F55" s="56" t="str">
        <x:v>是否存在食物过敏？</x:v>
      </x:c>
      <x:c r="G55" s="56" t="str">
        <x:v>单选</x:v>
      </x:c>
      <x:c r="H55" s="56" t="str">
        <x:v>没有 / 有 / 不确定</x:v>
      </x:c>
      <x:c r="I55" s="58" t="str">
        <x:v>是</x:v>
      </x:c>
      <x:c r="J55" s="56" t="str">
        <x:v>始终显示</x:v>
      </x:c>
      <x:c r="K55" s="58" t="str">
        <x:v>enum</x:v>
      </x:c>
      <x:c r="L55" s="56" t="str">
        <x:v>food.has_allergies</x:v>
      </x:c>
      <x:c r="M55" s="58" t="str">
        <x:v>FACT</x:v>
      </x:c>
      <x:c r="N55" s="58" t="str">
        <x:v>高度敏感</x:v>
      </x:c>
      <x:c r="O55" s="58" t="str">
        <x:v>V1已有改造</x:v>
      </x:c>
      <x:c r="P55" s="58" t="str">
        <x:v>P0</x:v>
      </x:c>
      <x:c r="Q55" s="58" t="str">
        <x:v>是</x:v>
      </x:c>
      <x:c r="R55" s="58" t="str">
        <x:v>待确认</x:v>
      </x:c>
      <x:c r="S55" s="56" t="str">
        <x:v>决定是否进入过敏安全流程</x:v>
      </x:c>
      <x:c r="T55" s="58" t="str">
        <x:v>07-04;19-08</x:v>
      </x:c>
      <x:c r="U55" s="56" t="str">
        <x:v>不能用“偏好/必须/不要”表达过敏</x:v>
      </x:c>
      <x:c r="V55" s="64" t="str"/>
    </x:row>
    <x:row r="56" ht="48" customHeight="1">
      <x:c r="A56" s="63" t="str">
        <x:v>PV2-07-004</x:v>
      </x:c>
      <x:c r="B56" s="58" t="str">
        <x:v>07</x:v>
      </x:c>
      <x:c r="C56" s="58" t="str">
        <x:v>条件触发</x:v>
      </x:c>
      <x:c r="D56" s="56" t="str">
        <x:v>想吃什么、玩什么</x:v>
      </x:c>
      <x:c r="E56" s="56" t="str">
        <x:v>过敏详情</x:v>
      </x:c>
      <x:c r="F56" s="56" t="str">
        <x:v>过敏原与严重程度</x:v>
      </x:c>
      <x:c r="G56" s="56" t="str">
        <x:v>动态表单</x:v>
      </x:c>
      <x:c r="H56" s="56" t="str">
        <x:v>过敏原、严重程度、是否需避免交叉污染、是否携带急救药</x:v>
      </x:c>
      <x:c r="I56" s="58" t="str">
        <x:v>条件必填</x:v>
      </x:c>
      <x:c r="J56" s="56" t="str">
        <x:v>食物过敏=有</x:v>
      </x:c>
      <x:c r="K56" s="58" t="str">
        <x:v>object</x:v>
      </x:c>
      <x:c r="L56" s="56" t="str">
        <x:v>food.allergy_details</x:v>
      </x:c>
      <x:c r="M56" s="58" t="str">
        <x:v>HARD</x:v>
      </x:c>
      <x:c r="N56" s="58" t="str">
        <x:v>高度敏感</x:v>
      </x:c>
      <x:c r="O56" s="58" t="str">
        <x:v>V2新增</x:v>
      </x:c>
      <x:c r="P56" s="58" t="str">
        <x:v>P0</x:v>
      </x:c>
      <x:c r="Q56" s="58" t="str">
        <x:v>是</x:v>
      </x:c>
      <x:c r="R56" s="58" t="str">
        <x:v>必须满足</x:v>
      </x:c>
      <x:c r="S56" s="56" t="str">
        <x:v>餐厅逐一核验与过敏提示卡生成</x:v>
      </x:c>
      <x:c r="T56" s="58" t="str">
        <x:v>07-04;19-08</x:v>
      </x:c>
      <x:c r="U56" s="56" t="str">
        <x:v>仅采集服务必要信息；严重过敏进入人工/供应商确认</x:v>
      </x:c>
      <x:c r="V56" s="64" t="str"/>
    </x:row>
    <x:row r="57" ht="48" customHeight="1">
      <x:c r="A57" s="63" t="str">
        <x:v>PV2-07-005</x:v>
      </x:c>
      <x:c r="B57" s="58" t="str">
        <x:v>07</x:v>
      </x:c>
      <x:c r="C57" s="58" t="str">
        <x:v>主流程</x:v>
      </x:c>
      <x:c r="D57" s="56" t="str">
        <x:v>想吃什么、玩什么</x:v>
      </x:c>
      <x:c r="E57" s="56" t="str">
        <x:v>用餐方式</x:v>
      </x:c>
      <x:c r="F57" s="56" t="str">
        <x:v>用餐预算、排队和预约偏好</x:v>
      </x:c>
      <x:c r="G57" s="56" t="str">
        <x:v>多选+档位</x:v>
      </x:c>
      <x:c r="H57" s="56" t="str">
        <x:v>普通/适中/特色餐愿意多花；愿排队/不排队；愿提前预约</x:v>
      </x:c>
      <x:c r="I57" s="58" t="str">
        <x:v>否</x:v>
      </x:c>
      <x:c r="J57" s="56" t="str">
        <x:v>始终显示</x:v>
      </x:c>
      <x:c r="K57" s="58" t="str">
        <x:v>object</x:v>
      </x:c>
      <x:c r="L57" s="56" t="str">
        <x:v>food.dining_style</x:v>
      </x:c>
      <x:c r="M57" s="58" t="str">
        <x:v>PREFER</x:v>
      </x:c>
      <x:c r="N57" s="58" t="str">
        <x:v>一般</x:v>
      </x:c>
      <x:c r="O57" s="58" t="str">
        <x:v>V2新增</x:v>
      </x:c>
      <x:c r="P57" s="58" t="str">
        <x:v>P1</x:v>
      </x:c>
      <x:c r="Q57" s="58" t="str">
        <x:v>否</x:v>
      </x:c>
      <x:c r="R57" s="58" t="str">
        <x:v>优先满足</x:v>
      </x:c>
      <x:c r="S57" s="56" t="str">
        <x:v>控制餐厅等级、时间成本和预约策略</x:v>
      </x:c>
      <x:c r="T57" s="58" t="str">
        <x:v>07-02;07-03;07-08</x:v>
      </x:c>
      <x:c r="U57" s="56" t="str">
        <x:v>与总预算联动；“不排队”可升级为EXCLUDE</x:v>
      </x:c>
      <x:c r="V57" s="64" t="str"/>
    </x:row>
    <x:row r="58" ht="48" customHeight="1">
      <x:c r="A58" s="63" t="str">
        <x:v>PV2-07-006</x:v>
      </x:c>
      <x:c r="B58" s="58" t="str">
        <x:v>07</x:v>
      </x:c>
      <x:c r="C58" s="58" t="str">
        <x:v>主流程</x:v>
      </x:c>
      <x:c r="D58" s="56" t="str">
        <x:v>想吃什么、玩什么</x:v>
      </x:c>
      <x:c r="E58" s="56" t="str">
        <x:v>兴趣标签</x:v>
      </x:c>
      <x:c r="F58" s="56" t="str">
        <x:v>你对哪些旅行主题感兴趣？</x:v>
      </x:c>
      <x:c r="G58" s="56" t="str">
        <x:v>可搜索多选标签</x:v>
      </x:c>
      <x:c r="H58" s="56" t="str">
        <x:v>历史人文 / 自然 / 美食 / 购物 / 艺术博物馆 / 夜生活 / 摄影 / 亲子 / 城市漫步 / 咖啡 / 温泉 / 乐园 / 动物 / 徒步等</x:v>
      </x:c>
      <x:c r="I58" s="58" t="str">
        <x:v>是</x:v>
      </x:c>
      <x:c r="J58" s="56" t="str">
        <x:v>始终显示</x:v>
      </x:c>
      <x:c r="K58" s="58" t="str">
        <x:v>array&lt;enum&gt;</x:v>
      </x:c>
      <x:c r="L58" s="56" t="str">
        <x:v>interests.tags</x:v>
      </x:c>
      <x:c r="M58" s="58" t="str">
        <x:v>PREFER</x:v>
      </x:c>
      <x:c r="N58" s="58" t="str">
        <x:v>一般</x:v>
      </x:c>
      <x:c r="O58" s="58" t="str">
        <x:v>V1已有保留</x:v>
      </x:c>
      <x:c r="P58" s="58" t="str">
        <x:v>P0</x:v>
      </x:c>
      <x:c r="Q58" s="58" t="str">
        <x:v>否</x:v>
      </x:c>
      <x:c r="R58" s="58" t="str">
        <x:v>优先满足</x:v>
      </x:c>
      <x:c r="S58" s="56" t="str">
        <x:v>建立体验候选池并减少无效推荐</x:v>
      </x:c>
      <x:c r="T58" s="58" t="str">
        <x:v>01-04;09-01</x:v>
      </x:c>
      <x:c r="U58" s="56" t="str">
        <x:v>建议选择2~8项；支持搜索扩展</x:v>
      </x:c>
      <x:c r="V58" s="64" t="str"/>
    </x:row>
    <x:row r="59" ht="48" customHeight="1">
      <x:c r="A59" s="63" t="str">
        <x:v>PV2-07-007</x:v>
      </x:c>
      <x:c r="B59" s="58" t="str">
        <x:v>07</x:v>
      </x:c>
      <x:c r="C59" s="58" t="str">
        <x:v>主流程</x:v>
      </x:c>
      <x:c r="D59" s="56" t="str">
        <x:v>想吃什么、玩什么</x:v>
      </x:c>
      <x:c r="E59" s="56" t="str">
        <x:v>核心兴趣排序</x:v>
      </x:c>
      <x:c r="F59" s="56" t="str">
        <x:v>最重要的3个兴趣</x:v>
      </x:c>
      <x:c r="G59" s="56" t="str">
        <x:v>拖拽排序</x:v>
      </x:c>
      <x:c r="H59" s="56" t="str">
        <x:v>从已选兴趣中选Top 3</x:v>
      </x:c>
      <x:c r="I59" s="58" t="str">
        <x:v>条件必填</x:v>
      </x:c>
      <x:c r="J59" s="56" t="str">
        <x:v>已选兴趣&gt;=3</x:v>
      </x:c>
      <x:c r="K59" s="58" t="str">
        <x:v>ranked_array</x:v>
      </x:c>
      <x:c r="L59" s="56" t="str">
        <x:v>interests.top3</x:v>
      </x:c>
      <x:c r="M59" s="58" t="str">
        <x:v>PREFER</x:v>
      </x:c>
      <x:c r="N59" s="58" t="str">
        <x:v>一般</x:v>
      </x:c>
      <x:c r="O59" s="58" t="str">
        <x:v>V2新增</x:v>
      </x:c>
      <x:c r="P59" s="58" t="str">
        <x:v>P0</x:v>
      </x:c>
      <x:c r="Q59" s="58" t="str">
        <x:v>否</x:v>
      </x:c>
      <x:c r="R59" s="58" t="str">
        <x:v>优先满足</x:v>
      </x:c>
      <x:c r="S59" s="56" t="str">
        <x:v>在时间/预算冲突时确定保留体验顺序</x:v>
      </x:c>
      <x:c r="T59" s="58" t="str">
        <x:v>01-04;09-01</x:v>
      </x:c>
      <x:c r="U59" s="56" t="str">
        <x:v>必须从已选兴趣中选择；最多3项</x:v>
      </x:c>
      <x:c r="V59" s="64" t="str"/>
    </x:row>
    <x:row r="60" ht="48" customHeight="1">
      <x:c r="A60" s="63" t="str">
        <x:v>PV2-07-008</x:v>
      </x:c>
      <x:c r="B60" s="58" t="str">
        <x:v>07</x:v>
      </x:c>
      <x:c r="C60" s="58" t="str">
        <x:v>主流程</x:v>
      </x:c>
      <x:c r="D60" s="56" t="str">
        <x:v>想吃什么、玩什么</x:v>
      </x:c>
      <x:c r="E60" s="56" t="str">
        <x:v>必去清单</x:v>
      </x:c>
      <x:c r="F60" s="56" t="str">
        <x:v>哪些地方/活动不去会遗憾？</x:v>
      </x:c>
      <x:c r="G60" s="56" t="str">
        <x:v>搜索+自由输入Repeater</x:v>
      </x:c>
      <x:c r="H60" s="56" t="str">
        <x:v>景点/餐厅/展览/演出/品牌店等</x:v>
      </x:c>
      <x:c r="I60" s="58" t="str">
        <x:v>否</x:v>
      </x:c>
      <x:c r="J60" s="56" t="str">
        <x:v>始终显示</x:v>
      </x:c>
      <x:c r="K60" s="58" t="str">
        <x:v>array&lt;object&gt;</x:v>
      </x:c>
      <x:c r="L60" s="56" t="str">
        <x:v>interests.must_do</x:v>
      </x:c>
      <x:c r="M60" s="58" t="str">
        <x:v>HARD</x:v>
      </x:c>
      <x:c r="N60" s="58" t="str">
        <x:v>一般</x:v>
      </x:c>
      <x:c r="O60" s="58" t="str">
        <x:v>V2新增</x:v>
      </x:c>
      <x:c r="P60" s="58" t="str">
        <x:v>P0</x:v>
      </x:c>
      <x:c r="Q60" s="58" t="str">
        <x:v>条件</x:v>
      </x:c>
      <x:c r="R60" s="58" t="str">
        <x:v>必须满足</x:v>
      </x:c>
      <x:c r="S60" s="56" t="str">
        <x:v>作为具体行程锚点并检查预约窗口</x:v>
      </x:c>
      <x:c r="T60" s="58" t="str">
        <x:v>09-01;09-02;09-07</x:v>
      </x:c>
      <x:c r="U60" s="56" t="str">
        <x:v>每项可附日期限制；无法满足时必须提示冲突</x:v>
      </x:c>
      <x:c r="V60" s="64" t="str"/>
    </x:row>
    <x:row r="61" ht="48" customHeight="1">
      <x:c r="A61" s="63" t="str">
        <x:v>PV2-07-009</x:v>
      </x:c>
      <x:c r="B61" s="58" t="str">
        <x:v>07</x:v>
      </x:c>
      <x:c r="C61" s="58" t="str">
        <x:v>主流程</x:v>
      </x:c>
      <x:c r="D61" s="56" t="str">
        <x:v>想吃什么、玩什么</x:v>
      </x:c>
      <x:c r="E61" s="56" t="str">
        <x:v>想去/不要去</x:v>
      </x:c>
      <x:c r="F61" s="56" t="str">
        <x:v>还有哪些想去或明确不想安排？</x:v>
      </x:c>
      <x:c r="G61" s="56" t="str">
        <x:v>双列表/三态搜索</x:v>
      </x:c>
      <x:c r="H61" s="56" t="str">
        <x:v>Wish List / 明确不要</x:v>
      </x:c>
      <x:c r="I61" s="58" t="str">
        <x:v>否</x:v>
      </x:c>
      <x:c r="J61" s="56" t="str">
        <x:v>始终显示</x:v>
      </x:c>
      <x:c r="K61" s="58" t="str">
        <x:v>object</x:v>
      </x:c>
      <x:c r="L61" s="56" t="str">
        <x:v>interests.wish_and_exclude</x:v>
      </x:c>
      <x:c r="M61" s="58" t="str">
        <x:v>PREFER/EXCLUDE</x:v>
      </x:c>
      <x:c r="N61" s="58" t="str">
        <x:v>一般</x:v>
      </x:c>
      <x:c r="O61" s="58" t="str">
        <x:v>V2新增</x:v>
      </x:c>
      <x:c r="P61" s="58" t="str">
        <x:v>P1</x:v>
      </x:c>
      <x:c r="Q61" s="58" t="str">
        <x:v>否</x:v>
      </x:c>
      <x:c r="R61" s="58" t="str">
        <x:v>明确不要</x:v>
      </x:c>
      <x:c r="S61" s="56" t="str">
        <x:v>区分可放弃兴趣与绝对排除项</x:v>
      </x:c>
      <x:c r="T61" s="58" t="str">
        <x:v>09-01</x:v>
      </x:c>
      <x:c r="U61" s="56" t="str">
        <x:v>明确不要不得被模型主动安排</x:v>
      </x:c>
      <x:c r="V61" s="64" t="str"/>
    </x:row>
    <x:row r="62" ht="48" customHeight="1">
      <x:c r="A62" s="63" t="str">
        <x:v>PV2-07-010</x:v>
      </x:c>
      <x:c r="B62" s="58" t="str">
        <x:v>07</x:v>
      </x:c>
      <x:c r="C62" s="58" t="str">
        <x:v>条件触发</x:v>
      </x:c>
      <x:c r="D62" s="56" t="str">
        <x:v>想吃什么、玩什么</x:v>
      </x:c>
      <x:c r="E62" s="56" t="str">
        <x:v>购物计划</x:v>
      </x:c>
      <x:c r="F62" s="56" t="str">
        <x:v>是否有明确购物/退税目标？</x:v>
      </x:c>
      <x:c r="G62" s="56" t="str">
        <x:v>开关+多选+预算</x:v>
      </x:c>
      <x:c r="H62" s="56" t="str">
        <x:v>品牌/品类/预算/是否退税</x:v>
      </x:c>
      <x:c r="I62" s="58" t="str">
        <x:v>否</x:v>
      </x:c>
      <x:c r="J62" s="56" t="str">
        <x:v>兴趣含购物或主动开启</x:v>
      </x:c>
      <x:c r="K62" s="58" t="str">
        <x:v>object</x:v>
      </x:c>
      <x:c r="L62" s="56" t="str">
        <x:v>shopping.intent</x:v>
      </x:c>
      <x:c r="M62" s="58" t="str">
        <x:v>PREFER</x:v>
      </x:c>
      <x:c r="N62" s="58" t="str">
        <x:v>一般</x:v>
      </x:c>
      <x:c r="O62" s="58" t="str">
        <x:v>V2新增</x:v>
      </x:c>
      <x:c r="P62" s="58" t="str">
        <x:v>P1</x:v>
      </x:c>
      <x:c r="Q62" s="58" t="str">
        <x:v>否</x:v>
      </x:c>
      <x:c r="R62" s="58" t="str">
        <x:v>优先满足</x:v>
      </x:c>
      <x:c r="S62" s="56" t="str">
        <x:v>规划购物路线、预算、退税和行李空间</x:v>
      </x:c>
      <x:c r="T62" s="58" t="str">
        <x:v>18-01;18-03;18-07</x:v>
      </x:c>
      <x:c r="U62" s="56" t="str">
        <x:v>大额购物预算与总预算口径需明确是否包含</x:v>
      </x:c>
      <x:c r="V62" s="64" t="str"/>
    </x:row>
    <x:row r="63" ht="48" customHeight="1">
      <x:c r="A63" s="63" t="str">
        <x:v>PV2-08-001</x:v>
      </x:c>
      <x:c r="B63" s="58" t="str">
        <x:v>08</x:v>
      </x:c>
      <x:c r="C63" s="58" t="str">
        <x:v>主流程</x:v>
      </x:c>
      <x:c r="D63" s="56" t="str">
        <x:v>需要特别照顾什么</x:v>
      </x:c>
      <x:c r="E63" s="56" t="str">
        <x:v>健康/无障碍入口</x:v>
      </x:c>
      <x:c r="F63" s="56" t="str">
        <x:v>是否有会影响旅行安排的健康、行动或无障碍需求？</x:v>
      </x:c>
      <x:c r="G63" s="56" t="str">
        <x:v>单选</x:v>
      </x:c>
      <x:c r="H63" s="56" t="str">
        <x:v>没有 / 有 / 不确定</x:v>
      </x:c>
      <x:c r="I63" s="58" t="str">
        <x:v>是</x:v>
      </x:c>
      <x:c r="J63" s="56" t="str">
        <x:v>始终显示</x:v>
      </x:c>
      <x:c r="K63" s="58" t="str">
        <x:v>enum</x:v>
      </x:c>
      <x:c r="L63" s="56" t="str">
        <x:v>special.has_health_or_accessibility_needs</x:v>
      </x:c>
      <x:c r="M63" s="58" t="str">
        <x:v>FACT</x:v>
      </x:c>
      <x:c r="N63" s="58" t="str">
        <x:v>高度敏感</x:v>
      </x:c>
      <x:c r="O63" s="58" t="str">
        <x:v>V2新增</x:v>
      </x:c>
      <x:c r="P63" s="58" t="str">
        <x:v>P0</x:v>
      </x:c>
      <x:c r="Q63" s="58" t="str">
        <x:v>条件</x:v>
      </x:c>
      <x:c r="R63" s="58" t="str">
        <x:v>待确认</x:v>
      </x:c>
      <x:c r="S63" s="56" t="str">
        <x:v>以最小化方式决定是否展开敏感信息</x:v>
      </x:c>
      <x:c r="T63" s="58" t="str">
        <x:v>11-01;19-04;19-05;19-06;19-07</x:v>
      </x:c>
      <x:c r="U63" s="56" t="str">
        <x:v>主流程只问“是否存在”，不要要求诊断信息</x:v>
      </x:c>
      <x:c r="V63" s="64" t="str"/>
    </x:row>
    <x:row r="64" ht="48" customHeight="1">
      <x:c r="A64" s="63" t="str">
        <x:v>PV2-08-002</x:v>
      </x:c>
      <x:c r="B64" s="58" t="str">
        <x:v>08</x:v>
      </x:c>
      <x:c r="C64" s="58" t="str">
        <x:v>条件触发</x:v>
      </x:c>
      <x:c r="D64" s="56" t="str">
        <x:v>需要特别照顾什么</x:v>
      </x:c>
      <x:c r="E64" s="56" t="str">
        <x:v>健康/无障碍详情</x:v>
      </x:c>
      <x:c r="F64" s="56" t="str">
        <x:v>需要我们在行程中照顾哪些实际需求？</x:v>
      </x:c>
      <x:c r="G64" s="56" t="str">
        <x:v>多选+备注</x:v>
      </x:c>
      <x:c r="H64" s="56" t="str">
        <x:v>轮椅/助行 / 视听辅助 / 孕期 / 慢性病影响 / 不能久站 / 医疗设备 / 其他</x:v>
      </x:c>
      <x:c r="I64" s="58" t="str">
        <x:v>条件必填</x:v>
      </x:c>
      <x:c r="J64" s="56" t="str">
        <x:v>健康/无障碍入口=有</x:v>
      </x:c>
      <x:c r="K64" s="58" t="str">
        <x:v>object</x:v>
      </x:c>
      <x:c r="L64" s="56" t="str">
        <x:v>special.health_accessibility_needs</x:v>
      </x:c>
      <x:c r="M64" s="58" t="str">
        <x:v>HARD</x:v>
      </x:c>
      <x:c r="N64" s="58" t="str">
        <x:v>高度敏感</x:v>
      </x:c>
      <x:c r="O64" s="58" t="str">
        <x:v>V2新增</x:v>
      </x:c>
      <x:c r="P64" s="58" t="str">
        <x:v>P0</x:v>
      </x:c>
      <x:c r="Q64" s="58" t="str">
        <x:v>是</x:v>
      </x:c>
      <x:c r="R64" s="58" t="str">
        <x:v>必须满足</x:v>
      </x:c>
      <x:c r="S64" s="56" t="str">
        <x:v>决定无障碍供应商确认、节奏和医疗准备</x:v>
      </x:c>
      <x:c r="T64" s="58" t="str">
        <x:v>11-01;19-04;19-05;19-06;19-07</x:v>
      </x:c>
      <x:c r="U64" s="56" t="str">
        <x:v>只采功能性需求；必要医疗细节建议由专业人士评估</x:v>
      </x:c>
      <x:c r="V64" s="64" t="str"/>
    </x:row>
    <x:row r="65" ht="48" customHeight="1">
      <x:c r="A65" s="63" t="str">
        <x:v>PV2-08-003</x:v>
      </x:c>
      <x:c r="B65" s="58" t="str">
        <x:v>08</x:v>
      </x:c>
      <x:c r="C65" s="58" t="str">
        <x:v>主流程</x:v>
      </x:c>
      <x:c r="D65" s="56" t="str">
        <x:v>需要特别照顾什么</x:v>
      </x:c>
      <x:c r="E65" s="56" t="str">
        <x:v>特殊活动</x:v>
      </x:c>
      <x:c r="F65" s="56" t="str">
        <x:v>是否计划高原、潜水或其他高风险活动？</x:v>
      </x:c>
      <x:c r="G65" s="56" t="str">
        <x:v>多选</x:v>
      </x:c>
      <x:c r="H65" s="56" t="str">
        <x:v>高原 / 水肺潜水 / 滑雪 / 登山 / 跳伞等极限项目 / 无</x:v>
      </x:c>
      <x:c r="I65" s="58" t="str">
        <x:v>是</x:v>
      </x:c>
      <x:c r="J65" s="56" t="str">
        <x:v>始终显示</x:v>
      </x:c>
      <x:c r="K65" s="58" t="str">
        <x:v>array&lt;enum&gt;</x:v>
      </x:c>
      <x:c r="L65" s="56" t="str">
        <x:v>special.high_risk_activities</x:v>
      </x:c>
      <x:c r="M65" s="58" t="str">
        <x:v>VERIFY</x:v>
      </x:c>
      <x:c r="N65" s="58" t="str">
        <x:v>一般</x:v>
      </x:c>
      <x:c r="O65" s="58" t="str">
        <x:v>V2新增</x:v>
      </x:c>
      <x:c r="P65" s="58" t="str">
        <x:v>P0</x:v>
      </x:c>
      <x:c r="Q65" s="58" t="str">
        <x:v>条件</x:v>
      </x:c>
      <x:c r="R65" s="58" t="str">
        <x:v>待确认</x:v>
      </x:c>
      <x:c r="S65" s="56" t="str">
        <x:v>触发健康、保险、资质和活动门槛核验</x:v>
      </x:c>
      <x:c r="T65" s="58" t="str">
        <x:v>11-08;13-06;09-06</x:v>
      </x:c>
      <x:c r="U65" s="56" t="str">
        <x:v>“无”与其他互斥；有相关活动则保险核验必做</x:v>
      </x:c>
      <x:c r="V65" s="64" t="str"/>
    </x:row>
    <x:row r="66" ht="48" customHeight="1">
      <x:c r="A66" s="63" t="str">
        <x:v>PV2-08-004</x:v>
      </x:c>
      <x:c r="B66" s="58" t="str">
        <x:v>08</x:v>
      </x:c>
      <x:c r="C66" s="58" t="str">
        <x:v>条件触发</x:v>
      </x:c>
      <x:c r="D66" s="56" t="str">
        <x:v>需要特别照顾什么</x:v>
      </x:c>
      <x:c r="E66" s="56" t="str">
        <x:v>长期用药</x:v>
      </x:c>
      <x:c r="F66" s="56" t="str">
        <x:v>旅行期间是否需要携带处方药/受控药物？</x:v>
      </x:c>
      <x:c r="G66" s="56" t="str">
        <x:v>单选</x:v>
      </x:c>
      <x:c r="H66" s="56" t="str">
        <x:v>不需要 / 需要 / 不确定</x:v>
      </x:c>
      <x:c r="I66" s="58" t="str">
        <x:v>条件必填</x:v>
      </x:c>
      <x:c r="J66" s="56" t="str">
        <x:v>国际旅行或健康需求=有</x:v>
      </x:c>
      <x:c r="K66" s="58" t="str">
        <x:v>enum</x:v>
      </x:c>
      <x:c r="L66" s="56" t="str">
        <x:v>special.medication_status</x:v>
      </x:c>
      <x:c r="M66" s="58" t="str">
        <x:v>VERIFY</x:v>
      </x:c>
      <x:c r="N66" s="58" t="str">
        <x:v>高度敏感</x:v>
      </x:c>
      <x:c r="O66" s="58" t="str">
        <x:v>V2新增</x:v>
      </x:c>
      <x:c r="P66" s="58" t="str">
        <x:v>P0</x:v>
      </x:c>
      <x:c r="Q66" s="58" t="str">
        <x:v>条件</x:v>
      </x:c>
      <x:c r="R66" s="58" t="str">
        <x:v>待确认</x:v>
      </x:c>
      <x:c r="S66" s="56" t="str">
        <x:v>触发药品携带合法性与备用量准备</x:v>
      </x:c>
      <x:c r="T66" s="58" t="str">
        <x:v>03-08;11-04;19-07</x:v>
      </x:c>
      <x:c r="U66" s="56" t="str">
        <x:v>不在此处要求药名；选择“需要”后进入必要信息流程</x:v>
      </x:c>
      <x:c r="V66" s="64" t="str"/>
    </x:row>
    <x:row r="67" ht="48" customHeight="1">
      <x:c r="A67" s="63" t="str">
        <x:v>PV2-08-005</x:v>
      </x:c>
      <x:c r="B67" s="58" t="str">
        <x:v>08</x:v>
      </x:c>
      <x:c r="C67" s="58" t="str">
        <x:v>条件触发</x:v>
      </x:c>
      <x:c r="D67" s="56" t="str">
        <x:v>需要特别照顾什么</x:v>
      </x:c>
      <x:c r="E67" s="56" t="str">
        <x:v>国际身份</x:v>
      </x:c>
      <x:c r="F67" s="56" t="str">
        <x:v>国籍与长期居留地</x:v>
      </x:c>
      <x:c r="G67" s="56" t="str">
        <x:v>两个下拉/搜索</x:v>
      </x:c>
      <x:c r="H67" s="56" t="str">
        <x:v>国籍 + 常住/长期居留国家</x:v>
      </x:c>
      <x:c r="I67" s="58" t="str">
        <x:v>条件必填</x:v>
      </x:c>
      <x:c r="J67" s="56" t="str">
        <x:v>系统判断为跨境国际旅行</x:v>
      </x:c>
      <x:c r="K67" s="58" t="str">
        <x:v>object</x:v>
      </x:c>
      <x:c r="L67" s="56" t="str">
        <x:v>documents.nationality_residency</x:v>
      </x:c>
      <x:c r="M67" s="58" t="str">
        <x:v>FACT</x:v>
      </x:c>
      <x:c r="N67" s="58" t="str">
        <x:v>敏感</x:v>
      </x:c>
      <x:c r="O67" s="58" t="str">
        <x:v>V2新增</x:v>
      </x:c>
      <x:c r="P67" s="58" t="str">
        <x:v>P0</x:v>
      </x:c>
      <x:c r="Q67" s="58" t="str">
        <x:v>是</x:v>
      </x:c>
      <x:c r="R67" s="58" t="str">
        <x:v>旅行骨架</x:v>
      </x:c>
      <x:c r="S67" s="56" t="str">
        <x:v>判断签证、ETA、过境、入境文件</x:v>
      </x:c>
      <x:c r="T67" s="58" t="str">
        <x:v>03-02;03-03</x:v>
      </x:c>
      <x:c r="U67" s="56" t="str">
        <x:v>仅收国家，不默认收身份证/居留证号码</x:v>
      </x:c>
      <x:c r="V67" s="64" t="str"/>
    </x:row>
    <x:row r="68" ht="48" customHeight="1">
      <x:c r="A68" s="63" t="str">
        <x:v>PV2-08-006</x:v>
      </x:c>
      <x:c r="B68" s="58" t="str">
        <x:v>08</x:v>
      </x:c>
      <x:c r="C68" s="58" t="str">
        <x:v>条件触发</x:v>
      </x:c>
      <x:c r="D68" s="56" t="str">
        <x:v>需要特别照顾什么</x:v>
      </x:c>
      <x:c r="E68" s="56" t="str">
        <x:v>护照状态</x:v>
      </x:c>
      <x:c r="F68" s="56" t="str">
        <x:v>护照有效期/状态</x:v>
      </x:c>
      <x:c r="G68" s="56" t="str">
        <x:v>日期+单选</x:v>
      </x:c>
      <x:c r="H68" s="56" t="str">
        <x:v>到期日；正常/待办理/更新中</x:v>
      </x:c>
      <x:c r="I68" s="58" t="str">
        <x:v>条件必填</x:v>
      </x:c>
      <x:c r="J68" s="56" t="str">
        <x:v>跨境国际旅行</x:v>
      </x:c>
      <x:c r="K68" s="58" t="str">
        <x:v>object</x:v>
      </x:c>
      <x:c r="L68" s="56" t="str">
        <x:v>documents.passport_status</x:v>
      </x:c>
      <x:c r="M68" s="58" t="str">
        <x:v>VERIFY</x:v>
      </x:c>
      <x:c r="N68" s="58" t="str">
        <x:v>高度敏感</x:v>
      </x:c>
      <x:c r="O68" s="58" t="str">
        <x:v>V2新增</x:v>
      </x:c>
      <x:c r="P68" s="58" t="str">
        <x:v>P0</x:v>
      </x:c>
      <x:c r="Q68" s="58" t="str">
        <x:v>是</x:v>
      </x:c>
      <x:c r="R68" s="58" t="str">
        <x:v>待确认</x:v>
      </x:c>
      <x:c r="S68" s="56" t="str">
        <x:v>判断护照有效期、空白页与是否可进行不可退预订</x:v>
      </x:c>
      <x:c r="T68" s="58" t="str">
        <x:v>03-01</x:v>
      </x:c>
      <x:c r="U68" s="56" t="str">
        <x:v>只需到期日与状态；不在主问卷采集护照号码</x:v>
      </x:c>
      <x:c r="V68" s="64" t="str"/>
    </x:row>
    <x:row r="69" ht="48" customHeight="1">
      <x:c r="A69" s="63" t="str">
        <x:v>PV2-08-007</x:v>
      </x:c>
      <x:c r="B69" s="58" t="str">
        <x:v>08</x:v>
      </x:c>
      <x:c r="C69" s="58" t="str">
        <x:v>条件触发</x:v>
      </x:c>
      <x:c r="D69" s="56" t="str">
        <x:v>需要特别照顾什么</x:v>
      </x:c>
      <x:c r="E69" s="56" t="str">
        <x:v>签证状态</x:v>
      </x:c>
      <x:c r="F69" s="56" t="str">
        <x:v>当前是否已有目的地签证/ETA？</x:v>
      </x:c>
      <x:c r="G69" s="56" t="str">
        <x:v>单选+有效期可选</x:v>
      </x:c>
      <x:c r="H69" s="56" t="str">
        <x:v>已有 / 未办理 / 办理中 / 不确定 / 可能免签</x:v>
      </x:c>
      <x:c r="I69" s="58" t="str">
        <x:v>条件必填</x:v>
      </x:c>
      <x:c r="J69" s="56" t="str">
        <x:v>跨境国际旅行</x:v>
      </x:c>
      <x:c r="K69" s="58" t="str">
        <x:v>object</x:v>
      </x:c>
      <x:c r="L69" s="56" t="str">
        <x:v>documents.visa_status</x:v>
      </x:c>
      <x:c r="M69" s="58" t="str">
        <x:v>VERIFY</x:v>
      </x:c>
      <x:c r="N69" s="58" t="str">
        <x:v>敏感</x:v>
      </x:c>
      <x:c r="O69" s="58" t="str">
        <x:v>V2新增</x:v>
      </x:c>
      <x:c r="P69" s="58" t="str">
        <x:v>P0</x:v>
      </x:c>
      <x:c r="Q69" s="58" t="str">
        <x:v>是</x:v>
      </x:c>
      <x:c r="R69" s="58" t="str">
        <x:v>待确认</x:v>
      </x:c>
      <x:c r="S69" s="56" t="str">
        <x:v>触发官方签证/ETA/过境规则核验与时间线</x:v>
      </x:c>
      <x:c r="T69" s="58" t="str">
        <x:v>03-02;03-03</x:v>
      </x:c>
      <x:c r="U69" s="56" t="str">
        <x:v>用户自报不视为最终结论；必须后台核验</x:v>
      </x:c>
      <x:c r="V69" s="64" t="str"/>
    </x:row>
    <x:row r="70" ht="48" customHeight="1">
      <x:c r="A70" s="63" t="str">
        <x:v>PV2-08-008</x:v>
      </x:c>
      <x:c r="B70" s="58" t="str">
        <x:v>08</x:v>
      </x:c>
      <x:c r="C70" s="58" t="str">
        <x:v>主流程</x:v>
      </x:c>
      <x:c r="D70" s="56" t="str">
        <x:v>需要特别照顾什么</x:v>
      </x:c>
      <x:c r="E70" s="56" t="str">
        <x:v>旅行保险</x:v>
      </x:c>
      <x:c r="F70" s="56" t="str">
        <x:v>是否已有覆盖本次旅行的旅行保险？</x:v>
      </x:c>
      <x:c r="G70" s="56" t="str">
        <x:v>单选</x:v>
      </x:c>
      <x:c r="H70" s="56" t="str">
        <x:v>已有 / 没有 / 待购买 / 不确定</x:v>
      </x:c>
      <x:c r="I70" s="58" t="str">
        <x:v>否</x:v>
      </x:c>
      <x:c r="J70" s="56" t="str">
        <x:v>始终显示；高风险活动时提升为条件必填</x:v>
      </x:c>
      <x:c r="K70" s="58" t="str">
        <x:v>enum</x:v>
      </x:c>
      <x:c r="L70" s="56" t="str">
        <x:v>insurance.status</x:v>
      </x:c>
      <x:c r="M70" s="58" t="str">
        <x:v>VERIFY</x:v>
      </x:c>
      <x:c r="N70" s="58" t="str">
        <x:v>中等</x:v>
      </x:c>
      <x:c r="O70" s="58" t="str">
        <x:v>V2新增</x:v>
      </x:c>
      <x:c r="P70" s="58" t="str">
        <x:v>P1</x:v>
      </x:c>
      <x:c r="Q70" s="58" t="str">
        <x:v>否</x:v>
      </x:c>
      <x:c r="R70" s="58" t="str">
        <x:v>待确认</x:v>
      </x:c>
      <x:c r="S70" s="56" t="str">
        <x:v>识别医疗、取消、行李、高风险活动保障缺口</x:v>
      </x:c>
      <x:c r="T70" s="58" t="str">
        <x:v>13-01;13-02;13-03;13-04;13-06</x:v>
      </x:c>
      <x:c r="U70" s="56" t="str">
        <x:v>若有高风险活动，必须确认是否承保</x:v>
      </x:c>
      <x:c r="V70" s="64" t="str"/>
    </x:row>
    <x:row r="71" ht="48" customHeight="1">
      <x:c r="A71" s="63" t="str">
        <x:v>PV2-08-009</x:v>
      </x:c>
      <x:c r="B71" s="58" t="str">
        <x:v>08</x:v>
      </x:c>
      <x:c r="C71" s="58" t="str">
        <x:v>条件触发</x:v>
      </x:c>
      <x:c r="D71" s="56" t="str">
        <x:v>需要特别照顾什么</x:v>
      </x:c>
      <x:c r="E71" s="56" t="str">
        <x:v>安全场景</x:v>
      </x:c>
      <x:c r="F71" s="56" t="str">
        <x:v>是否存在需要提高安全阈值的场景？</x:v>
      </x:c>
      <x:c r="G71" s="56" t="str">
        <x:v>多选</x:v>
      </x:c>
      <x:c r="H71" s="56" t="str">
        <x:v>独自旅行 / 女性独行 / 夜生活多 / 深夜抵达 / 偏远地区 / 无</x:v>
      </x:c>
      <x:c r="I71" s="58" t="str">
        <x:v>否</x:v>
      </x:c>
      <x:c r="J71" s="56" t="str">
        <x:v>独行、夜生活或特殊抵达条件</x:v>
      </x:c>
      <x:c r="K71" s="58" t="str">
        <x:v>array&lt;enum&gt;</x:v>
      </x:c>
      <x:c r="L71" s="56" t="str">
        <x:v>safety.contexts</x:v>
      </x:c>
      <x:c r="M71" s="58" t="str">
        <x:v>HARD</x:v>
      </x:c>
      <x:c r="N71" s="58" t="str">
        <x:v>一般</x:v>
      </x:c>
      <x:c r="O71" s="58" t="str">
        <x:v>V2新增</x:v>
      </x:c>
      <x:c r="P71" s="58" t="str">
        <x:v>P1</x:v>
      </x:c>
      <x:c r="Q71" s="58" t="str">
        <x:v>否</x:v>
      </x:c>
      <x:c r="R71" s="58" t="str">
        <x:v>必须满足</x:v>
      </x:c>
      <x:c r="S71" s="56" t="str">
        <x:v>提高住宿区域、夜间交通和Plan B安全阈值</x:v>
      </x:c>
      <x:c r="T71" s="58" t="str">
        <x:v>12-04;19-09</x:v>
      </x:c>
      <x:c r="U71" s="56" t="str">
        <x:v>“无”与其他互斥；不询问不必要的身份细节</x:v>
      </x:c>
      <x:c r="V71" s="64" t="str"/>
    </x:row>
    <x:row r="72" ht="48" customHeight="1">
      <x:c r="A72" s="63" t="str">
        <x:v>PV2-08-010</x:v>
      </x:c>
      <x:c r="B72" s="58" t="str">
        <x:v>08</x:v>
      </x:c>
      <x:c r="C72" s="58" t="str">
        <x:v>条件触发</x:v>
      </x:c>
      <x:c r="D72" s="56" t="str">
        <x:v>需要特别照顾什么</x:v>
      </x:c>
      <x:c r="E72" s="56" t="str">
        <x:v>商务/远程工作</x:v>
      </x:c>
      <x:c r="F72" s="56" t="str">
        <x:v>旅行中是否有不能移动的工作安排？</x:v>
      </x:c>
      <x:c r="G72" s="56" t="str">
        <x:v>开关+时间Repeater</x:v>
      </x:c>
      <x:c r="H72" s="56" t="str">
        <x:v>会议时间、工作日、网络/安静空间要求</x:v>
      </x:c>
      <x:c r="I72" s="58" t="str">
        <x:v>条件必填</x:v>
      </x:c>
      <x:c r="J72" s="56" t="str">
        <x:v>旅行目的含商务+休闲或主动开启</x:v>
      </x:c>
      <x:c r="K72" s="58" t="str">
        <x:v>object</x:v>
      </x:c>
      <x:c r="L72" s="56" t="str">
        <x:v>special.work_constraints</x:v>
      </x:c>
      <x:c r="M72" s="58" t="str">
        <x:v>HARD</x:v>
      </x:c>
      <x:c r="N72" s="58" t="str">
        <x:v>一般</x:v>
      </x:c>
      <x:c r="O72" s="58" t="str">
        <x:v>V2新增</x:v>
      </x:c>
      <x:c r="P72" s="58" t="str">
        <x:v>P1</x:v>
      </x:c>
      <x:c r="Q72" s="58" t="str">
        <x:v>否</x:v>
      </x:c>
      <x:c r="R72" s="58" t="str">
        <x:v>必须满足</x:v>
      </x:c>
      <x:c r="S72" s="56" t="str">
        <x:v>把会议、网络和工作空间变成硬约束</x:v>
      </x:c>
      <x:c r="T72" s="58" t="str">
        <x:v>19-10;06-07</x:v>
      </x:c>
      <x:c r="U72" s="56" t="str">
        <x:v>时间使用目的地时区；必须与行程日期相交</x:v>
      </x:c>
      <x:c r="V72" s="64" t="str"/>
    </x:row>
    <x:row r="73" ht="48" customHeight="1">
      <x:c r="A73" s="63" t="str">
        <x:v>PV2-09-001</x:v>
      </x:c>
      <x:c r="B73" s="58" t="str">
        <x:v>09</x:v>
      </x:c>
      <x:c r="C73" s="58" t="str">
        <x:v>主流程</x:v>
      </x:c>
      <x:c r="D73" s="56" t="str">
        <x:v>确认你的旅行画像</x:v>
      </x:c>
      <x:c r="E73" s="56" t="str">
        <x:v>汇总确认</x:v>
      </x:c>
      <x:c r="F73" s="56" t="str">
        <x:v>确认旅行骨架、必须/偏好/排除项</x:v>
      </x:c>
      <x:c r="G73" s="56" t="str">
        <x:v>复核面板</x:v>
      </x:c>
      <x:c r="H73" s="56" t="str">
        <x:v>旅行骨架 / 必须满足 / 优先满足 / 明确不要 / 待确认</x:v>
      </x:c>
      <x:c r="I73" s="58" t="str">
        <x:v>是</x:v>
      </x:c>
      <x:c r="J73" s="56" t="str">
        <x:v>完成前8步后</x:v>
      </x:c>
      <x:c r="K73" s="58" t="str">
        <x:v>object</x:v>
      </x:c>
      <x:c r="L73" s="56" t="str">
        <x:v>review.constraints_snapshot</x:v>
      </x:c>
      <x:c r="M73" s="58" t="str">
        <x:v>FACT</x:v>
      </x:c>
      <x:c r="N73" s="58" t="str">
        <x:v>一般</x:v>
      </x:c>
      <x:c r="O73" s="58" t="str">
        <x:v>V2新增</x:v>
      </x:c>
      <x:c r="P73" s="58" t="str">
        <x:v>P0</x:v>
      </x:c>
      <x:c r="Q73" s="58" t="str">
        <x:v>是</x:v>
      </x:c>
      <x:c r="R73" s="58" t="str">
        <x:v>旅行骨架</x:v>
      </x:c>
      <x:c r="S73" s="56" t="str">
        <x:v>让客户在生成前发现冲突与遗漏</x:v>
      </x:c>
      <x:c r="T73" s="58" t="str">
        <x:v>01-01;01-08</x:v>
      </x:c>
      <x:c r="U73" s="56" t="str">
        <x:v>必须逐组可编辑回跳；不得仅显示“完成度百分比”</x:v>
      </x:c>
      <x:c r="V73" s="64" t="str">
        <x:v>右侧摘要区升级为5类</x:v>
      </x:c>
    </x:row>
    <x:row r="74" ht="48" customHeight="1">
      <x:c r="A74" s="63" t="str">
        <x:v>PV2-09-002</x:v>
      </x:c>
      <x:c r="B74" s="58" t="str">
        <x:v>09</x:v>
      </x:c>
      <x:c r="C74" s="58" t="str">
        <x:v>条件触发</x:v>
      </x:c>
      <x:c r="D74" s="56" t="str">
        <x:v>确认你的旅行画像</x:v>
      </x:c>
      <x:c r="E74" s="56" t="str">
        <x:v>待确认项</x:v>
      </x:c>
      <x:c r="F74" s="56" t="str">
        <x:v>补充会阻塞方案的待确认问题</x:v>
      </x:c>
      <x:c r="G74" s="56" t="str">
        <x:v>动态问题列表</x:v>
      </x:c>
      <x:c r="H74" s="56" t="str">
        <x:v>例如护照/儿童监护/自驾合法性/过敏安全</x:v>
      </x:c>
      <x:c r="I74" s="58" t="str">
        <x:v>条件必填</x:v>
      </x:c>
      <x:c r="J74" s="56" t="str">
        <x:v>存在blocker=是且状态未完成</x:v>
      </x:c>
      <x:c r="K74" s="58" t="str">
        <x:v>object</x:v>
      </x:c>
      <x:c r="L74" s="56" t="str">
        <x:v>review.blocking_answers</x:v>
      </x:c>
      <x:c r="M74" s="58" t="str">
        <x:v>VERIFY</x:v>
      </x:c>
      <x:c r="N74" s="58" t="str">
        <x:v>敏感</x:v>
      </x:c>
      <x:c r="O74" s="58" t="str">
        <x:v>V2新增</x:v>
      </x:c>
      <x:c r="P74" s="58" t="str">
        <x:v>P0</x:v>
      </x:c>
      <x:c r="Q74" s="58" t="str">
        <x:v>是</x:v>
      </x:c>
      <x:c r="R74" s="58" t="str">
        <x:v>待确认</x:v>
      </x:c>
      <x:c r="S74" s="56" t="str">
        <x:v>在必要时精准追问，而不是让用户重填全部问卷</x:v>
      </x:c>
      <x:c r="T74" s="58" t="str">
        <x:v>03-01;03-06;03-07;07-04</x:v>
      </x:c>
      <x:c r="U74" s="56" t="str">
        <x:v>只显示真正阻塞或高风险项目</x:v>
      </x:c>
      <x:c r="V74" s="64" t="str"/>
    </x:row>
    <x:row r="75" ht="48" customHeight="1">
      <x:c r="A75" s="63" t="str">
        <x:v>PV2-09-003</x:v>
      </x:c>
      <x:c r="B75" s="58" t="str">
        <x:v>09</x:v>
      </x:c>
      <x:c r="C75" s="58" t="str">
        <x:v>主流程</x:v>
      </x:c>
      <x:c r="D75" s="56" t="str">
        <x:v>确认你的旅行画像</x:v>
      </x:c>
      <x:c r="E75" s="56" t="str">
        <x:v>服务方式</x:v>
      </x:c>
      <x:c r="F75" s="56" t="str">
        <x:v>希望我们怎样提醒你？</x:v>
      </x:c>
      <x:c r="G75" s="56" t="str">
        <x:v>单选+渠道</x:v>
      </x:c>
      <x:c r="H75" s="56" t="str">
        <x:v>实时 / 每日晨报 / 每日晚报 / 仅重要变化；站内/邮件等</x:v>
      </x:c>
      <x:c r="I75" s="58" t="str">
        <x:v>是</x:v>
      </x:c>
      <x:c r="J75" s="56" t="str">
        <x:v>始终显示</x:v>
      </x:c>
      <x:c r="K75" s="58" t="str">
        <x:v>object</x:v>
      </x:c>
      <x:c r="L75" s="56" t="str">
        <x:v>service.notification_preferences</x:v>
      </x:c>
      <x:c r="M75" s="58" t="str">
        <x:v>FACT</x:v>
      </x:c>
      <x:c r="N75" s="58" t="str">
        <x:v>一般</x:v>
      </x:c>
      <x:c r="O75" s="58" t="str">
        <x:v>V2新增</x:v>
      </x:c>
      <x:c r="P75" s="58" t="str">
        <x:v>P1</x:v>
      </x:c>
      <x:c r="Q75" s="58" t="str">
        <x:v>否</x:v>
      </x:c>
      <x:c r="R75" s="58" t="str">
        <x:v>旅行骨架</x:v>
      </x:c>
      <x:c r="S75" s="56" t="str">
        <x:v>定义行前和旅中服务节奏</x:v>
      </x:c>
      <x:c r="T75" s="58" t="str">
        <x:v>21-01;21-02;21-06;21-07</x:v>
      </x:c>
      <x:c r="U75" s="56" t="str">
        <x:v>渠道必须是产品实际支持范围，不展示未实现渠道</x:v>
      </x:c>
      <x:c r="V75" s="64" t="str"/>
    </x:row>
    <x:row r="76" ht="48" customHeight="1">
      <x:c r="A76" s="63" t="str">
        <x:v>PV2-09-004</x:v>
      </x:c>
      <x:c r="B76" s="58" t="str">
        <x:v>09</x:v>
      </x:c>
      <x:c r="C76" s="58" t="str">
        <x:v>主流程</x:v>
      </x:c>
      <x:c r="D76" s="56" t="str">
        <x:v>确认你的旅行画像</x:v>
      </x:c>
      <x:c r="E76" s="56" t="str">
        <x:v>其他补充</x:v>
      </x:c>
      <x:c r="F76" s="56" t="str">
        <x:v>还有什么没有覆盖但希望我们知道？</x:v>
      </x:c>
      <x:c r="G76" s="56" t="str">
        <x:v>自由文本</x:v>
      </x:c>
      <x:c r="H76" s="56" t="str">
        <x:v>纪念日惊喜、必须避开某类体验等</x:v>
      </x:c>
      <x:c r="I76" s="58" t="str">
        <x:v>否</x:v>
      </x:c>
      <x:c r="J76" s="56" t="str">
        <x:v>始终显示</x:v>
      </x:c>
      <x:c r="K76" s="58" t="str">
        <x:v>string</x:v>
      </x:c>
      <x:c r="L76" s="56" t="str">
        <x:v>profile.additional_notes</x:v>
      </x:c>
      <x:c r="M76" s="58" t="str">
        <x:v>INFO</x:v>
      </x:c>
      <x:c r="N76" s="58" t="str">
        <x:v>中等</x:v>
      </x:c>
      <x:c r="O76" s="58" t="str">
        <x:v>V1已有保留</x:v>
      </x:c>
      <x:c r="P76" s="58" t="str">
        <x:v>P1</x:v>
      </x:c>
      <x:c r="Q76" s="58" t="str">
        <x:v>否</x:v>
      </x:c>
      <x:c r="R76" s="58" t="str">
        <x:v>不展示</x:v>
      </x:c>
      <x:c r="S76" s="56" t="str">
        <x:v>保留无法结构化的长尾需求</x:v>
      </x:c>
      <x:c r="T76" s="58" t="str">
        <x:v>01-01</x:v>
      </x:c>
      <x:c r="U76" s="56" t="str">
        <x:v>建议500字；若识别到已有结构化字段，应提示同步勾选</x:v>
      </x:c>
      <x:c r="V76" s="64" t="str">
        <x:v>修复V1 maxLength=5000但UI显示500字的不一致</x:v>
      </x:c>
    </x:row>
    <x:row r="77" ht="48" customHeight="1">
      <x:c r="A77" s="63" t="str">
        <x:v>PV2-09-005</x:v>
      </x:c>
      <x:c r="B77" s="58" t="str">
        <x:v>09</x:v>
      </x:c>
      <x:c r="C77" s="58" t="str">
        <x:v>主流程</x:v>
      </x:c>
      <x:c r="D77" s="56" t="str">
        <x:v>确认你的旅行画像</x:v>
      </x:c>
      <x:c r="E77" s="56" t="str">
        <x:v>隐私授权</x:v>
      </x:c>
      <x:c r="F77" s="56" t="str">
        <x:v>同意本次服务使用所提供的信息</x:v>
      </x:c>
      <x:c r="G77" s="56" t="str">
        <x:v>勾选框+详情链接</x:v>
      </x:c>
      <x:c r="H77" s="56" t="str">
        <x:v>同意本次规划处理；敏感信息最小化</x:v>
      </x:c>
      <x:c r="I77" s="58" t="str">
        <x:v>是</x:v>
      </x:c>
      <x:c r="J77" s="56" t="str">
        <x:v>提交前</x:v>
      </x:c>
      <x:c r="K77" s="58" t="str">
        <x:v>boolean</x:v>
      </x:c>
      <x:c r="L77" s="56" t="str">
        <x:v>privacy.trip_processing_consent</x:v>
      </x:c>
      <x:c r="M77" s="58" t="str">
        <x:v>CONSENT</x:v>
      </x:c>
      <x:c r="N77" s="58" t="str">
        <x:v>高度敏感</x:v>
      </x:c>
      <x:c r="O77" s="58" t="str">
        <x:v>V2新增</x:v>
      </x:c>
      <x:c r="P77" s="58" t="str">
        <x:v>P0</x:v>
      </x:c>
      <x:c r="Q77" s="58" t="str">
        <x:v>是</x:v>
      </x:c>
      <x:c r="R77" s="58" t="str">
        <x:v>不展示</x:v>
      </x:c>
      <x:c r="S77" s="56" t="str">
        <x:v>建立敏感信息处理与访问边界</x:v>
      </x:c>
      <x:c r="T77" s="58" t="str">
        <x:v>01-10</x:v>
      </x:c>
      <x:c r="U77" s="56" t="str">
        <x:v>必须显式同意；不同意则不能处理需敏感数据的功能</x:v>
      </x:c>
      <x:c r="V77" s="64" t="str"/>
    </x:row>
    <x:row r="78" ht="48" customHeight="1">
      <x:c r="A78" s="63" t="str">
        <x:v>PV2-09-006</x:v>
      </x:c>
      <x:c r="B78" s="58" t="str">
        <x:v>09</x:v>
      </x:c>
      <x:c r="C78" s="58" t="str">
        <x:v>主流程</x:v>
      </x:c>
      <x:c r="D78" s="56" t="str">
        <x:v>确认你的旅行画像</x:v>
      </x:c>
      <x:c r="E78" s="56" t="str">
        <x:v>长期偏好保存</x:v>
      </x:c>
      <x:c r="F78" s="56" t="str">
        <x:v>是否保存非敏感旅行偏好用于未来服务？</x:v>
      </x:c>
      <x:c r="G78" s="56" t="str">
        <x:v>开关</x:v>
      </x:c>
      <x:c r="H78" s="56" t="str">
        <x:v>保存 / 不保存</x:v>
      </x:c>
      <x:c r="I78" s="58" t="str">
        <x:v>是</x:v>
      </x:c>
      <x:c r="J78" s="56" t="str">
        <x:v>提交前</x:v>
      </x:c>
      <x:c r="K78" s="58" t="str">
        <x:v>boolean</x:v>
      </x:c>
      <x:c r="L78" s="56" t="str">
        <x:v>privacy.save_preferences</x:v>
      </x:c>
      <x:c r="M78" s="58" t="str">
        <x:v>CONSENT</x:v>
      </x:c>
      <x:c r="N78" s="58" t="str">
        <x:v>敏感</x:v>
      </x:c>
      <x:c r="O78" s="58" t="str">
        <x:v>V2新增</x:v>
      </x:c>
      <x:c r="P78" s="58" t="str">
        <x:v>P1</x:v>
      </x:c>
      <x:c r="Q78" s="58" t="str">
        <x:v>否</x:v>
      </x:c>
      <x:c r="R78" s="58" t="str">
        <x:v>不展示</x:v>
      </x:c>
      <x:c r="S78" s="56" t="str">
        <x:v>支持长期客户画像，同时尊重资料治理选择</x:v>
      </x:c>
      <x:c r="T78" s="58" t="str">
        <x:v>01-10;24-05</x:v>
      </x:c>
      <x:c r="U78" s="56" t="str">
        <x:v>默认建议不预勾选；与本次服务授权分开</x:v>
      </x:c>
      <x:c r="V78" s="64" t="str"/>
    </x:row>
    <x:row r="79" ht="48" customHeight="1">
      <x:c r="A79" s="63" t="str">
        <x:v>PV2-10-001</x:v>
      </x:c>
      <x:c r="B79" s="58" t="str">
        <x:v>10</x:v>
      </x:c>
      <x:c r="C79" s="58" t="str">
        <x:v>方案后补充</x:v>
      </x:c>
      <x:c r="D79" s="56" t="str">
        <x:v>行前准备资料</x:v>
      </x:c>
      <x:c r="E79" s="56" t="str">
        <x:v>通信</x:v>
      </x:c>
      <x:c r="F79" s="56" t="str">
        <x:v>手机是否支持eSIM/希望怎样联网？</x:v>
      </x:c>
      <x:c r="G79" s="56" t="str">
        <x:v>单选+多选</x:v>
      </x:c>
      <x:c r="H79" s="56" t="str">
        <x:v>支持/不支持/不清楚；eSIM/漫游/实体SIM/Wi-Fi</x:v>
      </x:c>
      <x:c r="I79" s="58" t="str">
        <x:v>否</x:v>
      </x:c>
      <x:c r="J79" s="56" t="str">
        <x:v>初步方案生成后</x:v>
      </x:c>
      <x:c r="K79" s="58" t="str">
        <x:v>object</x:v>
      </x:c>
      <x:c r="L79" s="56" t="str">
        <x:v>pretrip.connectivity</x:v>
      </x:c>
      <x:c r="M79" s="58" t="str">
        <x:v>INFO</x:v>
      </x:c>
      <x:c r="N79" s="58" t="str">
        <x:v>一般</x:v>
      </x:c>
      <x:c r="O79" s="58" t="str">
        <x:v>V2后置</x:v>
      </x:c>
      <x:c r="P79" s="58" t="str">
        <x:v>P2</x:v>
      </x:c>
      <x:c r="Q79" s="58" t="str">
        <x:v>否</x:v>
      </x:c>
      <x:c r="R79" s="58" t="str">
        <x:v>不展示</x:v>
      </x:c>
      <x:c r="S79" s="56" t="str">
        <x:v>生成目的地通信方案和离线工具清单</x:v>
      </x:c>
      <x:c r="T79" s="58" t="str">
        <x:v>15-01;15-03;15-04;15-05</x:v>
      </x:c>
      <x:c r="U79" s="56" t="str">
        <x:v>不阻塞初步行程生成</x:v>
      </x:c>
      <x:c r="V79" s="64" t="str"/>
    </x:row>
    <x:row r="80" ht="48" customHeight="1">
      <x:c r="A80" s="63" t="str">
        <x:v>PV2-10-002</x:v>
      </x:c>
      <x:c r="B80" s="58" t="str">
        <x:v>10</x:v>
      </x:c>
      <x:c r="C80" s="58" t="str">
        <x:v>方案后补充</x:v>
      </x:c>
      <x:c r="D80" s="56" t="str">
        <x:v>行前准备资料</x:v>
      </x:c>
      <x:c r="E80" s="56" t="str">
        <x:v>支付</x:v>
      </x:c>
      <x:c r="F80" s="56" t="str">
        <x:v>主要支付方式与备用方式</x:v>
      </x:c>
      <x:c r="G80" s="56" t="str">
        <x:v>多选</x:v>
      </x:c>
      <x:c r="H80" s="56" t="str">
        <x:v>Visa / Mastercard / Amex / Apple Pay / Google Pay / 现金 / 其他</x:v>
      </x:c>
      <x:c r="I80" s="58" t="str">
        <x:v>否</x:v>
      </x:c>
      <x:c r="J80" s="56" t="str">
        <x:v>初步方案生成后</x:v>
      </x:c>
      <x:c r="K80" s="58" t="str">
        <x:v>object</x:v>
      </x:c>
      <x:c r="L80" s="56" t="str">
        <x:v>pretrip.payment_methods</x:v>
      </x:c>
      <x:c r="M80" s="58" t="str">
        <x:v>INFO</x:v>
      </x:c>
      <x:c r="N80" s="58" t="str">
        <x:v>中等</x:v>
      </x:c>
      <x:c r="O80" s="58" t="str">
        <x:v>V2后置</x:v>
      </x:c>
      <x:c r="P80" s="58" t="str">
        <x:v>P2</x:v>
      </x:c>
      <x:c r="Q80" s="58" t="str">
        <x:v>否</x:v>
      </x:c>
      <x:c r="R80" s="58" t="str">
        <x:v>不展示</x:v>
      </x:c>
      <x:c r="S80" s="56" t="str">
        <x:v>生成支付、现金、ATM和备用资金建议</x:v>
      </x:c>
      <x:c r="T80" s="58" t="str">
        <x:v>14-03;14-04;14-05;14-09</x:v>
      </x:c>
      <x:c r="U80" s="56" t="str">
        <x:v>不采集卡号/CVV/账户密码</x:v>
      </x:c>
      <x:c r="V80" s="64" t="str"/>
    </x:row>
    <x:row r="81" ht="48" customHeight="1">
      <x:c r="A81" s="63" t="str">
        <x:v>PV2-10-003</x:v>
      </x:c>
      <x:c r="B81" s="58" t="str">
        <x:v>10</x:v>
      </x:c>
      <x:c r="C81" s="58" t="str">
        <x:v>方案后补充</x:v>
      </x:c>
      <x:c r="D81" s="56" t="str">
        <x:v>行前准备资料</x:v>
      </x:c>
      <x:c r="E81" s="56" t="str">
        <x:v>会员权益</x:v>
      </x:c>
      <x:c r="F81" s="56" t="str">
        <x:v>可用于本次旅行的会员权益</x:v>
      </x:c>
      <x:c r="G81" s="56" t="str">
        <x:v>Repeater</x:v>
      </x:c>
      <x:c r="H81" s="56" t="str">
        <x:v>航空/酒店/租车/信用卡；品牌+等级</x:v>
      </x:c>
      <x:c r="I81" s="58" t="str">
        <x:v>否</x:v>
      </x:c>
      <x:c r="J81" s="56" t="str">
        <x:v>初步方案生成后或用户主动展开</x:v>
      </x:c>
      <x:c r="K81" s="58" t="str">
        <x:v>array&lt;object&gt;</x:v>
      </x:c>
      <x:c r="L81" s="56" t="str">
        <x:v>pretrip.loyalty_programs</x:v>
      </x:c>
      <x:c r="M81" s="58" t="str">
        <x:v>INFO</x:v>
      </x:c>
      <x:c r="N81" s="58" t="str">
        <x:v>中等</x:v>
      </x:c>
      <x:c r="O81" s="58" t="str">
        <x:v>V2后置</x:v>
      </x:c>
      <x:c r="P81" s="58" t="str">
        <x:v>P1</x:v>
      </x:c>
      <x:c r="Q81" s="58" t="str">
        <x:v>否</x:v>
      </x:c>
      <x:c r="R81" s="58" t="str">
        <x:v>不展示</x:v>
      </x:c>
      <x:c r="S81" s="56" t="str">
        <x:v>优化酒店品牌、行李、贵宾室、早餐和延迟退房</x:v>
      </x:c>
      <x:c r="T81" s="58" t="str">
        <x:v>01-09</x:v>
      </x:c>
      <x:c r="U81" s="56" t="str">
        <x:v>不要求会员账号密码；编号原则上非必要不收</x:v>
      </x:c>
      <x:c r="V81" s="64" t="str"/>
    </x:row>
    <x:row r="82" ht="48" customHeight="1">
      <x:c r="A82" s="63" t="str">
        <x:v>PV2-10-004</x:v>
      </x:c>
      <x:c r="B82" s="58" t="str">
        <x:v>10</x:v>
      </x:c>
      <x:c r="C82" s="58" t="str">
        <x:v>方案后补充</x:v>
      </x:c>
      <x:c r="D82" s="56" t="str">
        <x:v>行前准备资料</x:v>
      </x:c>
      <x:c r="E82" s="56" t="str">
        <x:v>紧急联系人与位置共享</x:v>
      </x:c>
      <x:c r="F82" s="56" t="str">
        <x:v>紧急联系人和位置共享偏好</x:v>
      </x:c>
      <x:c r="G82" s="56" t="str">
        <x:v>联系人+授权开关</x:v>
      </x:c>
      <x:c r="H82" s="56" t="str">
        <x:v>姓名/关系/联系方式；不共享/仅紧急/旅中共享</x:v>
      </x:c>
      <x:c r="I82" s="58" t="str">
        <x:v>否</x:v>
      </x:c>
      <x:c r="J82" s="56" t="str">
        <x:v>深度服务或旅中管家开启时</x:v>
      </x:c>
      <x:c r="K82" s="58" t="str">
        <x:v>object</x:v>
      </x:c>
      <x:c r="L82" s="56" t="str">
        <x:v>pretrip.emergency_contact</x:v>
      </x:c>
      <x:c r="M82" s="58" t="str">
        <x:v>CONSENT</x:v>
      </x:c>
      <x:c r="N82" s="58" t="str">
        <x:v>高度敏感</x:v>
      </x:c>
      <x:c r="O82" s="58" t="str">
        <x:v>V2后置</x:v>
      </x:c>
      <x:c r="P82" s="58" t="str">
        <x:v>P1</x:v>
      </x:c>
      <x:c r="Q82" s="58" t="str">
        <x:v>否</x:v>
      </x:c>
      <x:c r="R82" s="58" t="str">
        <x:v>不展示</x:v>
      </x:c>
      <x:c r="S82" s="56" t="str">
        <x:v>建立紧急联络与走散/危机应对机制</x:v>
      </x:c>
      <x:c r="T82" s="58" t="str">
        <x:v>01-10;22-11</x:v>
      </x:c>
      <x:c r="U82" s="56" t="str">
        <x:v>必须明确用途与保存期限；位置共享独立授权</x:v>
      </x:c>
      <x:c r="V82" s="64" t="str"/>
    </x:row>
    <x:row r="83" ht="48" customHeight="1">
      <x:c r="A83" s="63" t="str">
        <x:v>PV2-10-005</x:v>
      </x:c>
      <x:c r="B83" s="58" t="str">
        <x:v>10</x:v>
      </x:c>
      <x:c r="C83" s="58" t="str">
        <x:v>方案后补充</x:v>
      </x:c>
      <x:c r="D83" s="56" t="str">
        <x:v>行前准备资料</x:v>
      </x:c>
      <x:c r="E83" s="56" t="str">
        <x:v>订单/文件导入</x:v>
      </x:c>
      <x:c r="F83" s="56" t="str">
        <x:v>上传或导入已有订单与旅行文件</x:v>
      </x:c>
      <x:c r="G83" s="56" t="str">
        <x:v>文件上传/邮箱导入入口</x:v>
      </x:c>
      <x:c r="H83" s="56" t="str">
        <x:v>机票、酒店、活动、保险等</x:v>
      </x:c>
      <x:c r="I83" s="58" t="str">
        <x:v>否</x:v>
      </x:c>
      <x:c r="J83" s="56" t="str">
        <x:v>用户选择深度服务</x:v>
      </x:c>
      <x:c r="K83" s="58" t="str">
        <x:v>array&lt;file_ref&gt;</x:v>
      </x:c>
      <x:c r="L83" s="56" t="str">
        <x:v>pretrip.imported_documents</x:v>
      </x:c>
      <x:c r="M83" s="58" t="str">
        <x:v>INFO</x:v>
      </x:c>
      <x:c r="N83" s="58" t="str">
        <x:v>高度敏感</x:v>
      </x:c>
      <x:c r="O83" s="58" t="str">
        <x:v>V2后置</x:v>
      </x:c>
      <x:c r="P83" s="58" t="str">
        <x:v>P2</x:v>
      </x:c>
      <x:c r="Q83" s="58" t="str">
        <x:v>否</x:v>
      </x:c>
      <x:c r="R83" s="58" t="str">
        <x:v>不展示</x:v>
      </x:c>
      <x:c r="S83" s="56" t="str">
        <x:v>自动解析航班、酒店、票务并减少重复输入</x:v>
      </x:c>
      <x:c r="T83" s="58" t="str">
        <x:v>03-04;03-10;04-04;06-03</x:v>
      </x:c>
      <x:c r="U83" s="56" t="str">
        <x:v>文件类型/大小限制；敏感证件需最小权限与可删除机制</x:v>
      </x:c>
      <x:c r="V83" s="64" t="str"/>
    </x:row>
    <x:row r="84" ht="48" customHeight="1">
      <x:c r="A84" s="65" t="str">
        <x:v>PV2-10-006</x:v>
      </x:c>
      <x:c r="B84" s="66" t="str">
        <x:v>10</x:v>
      </x:c>
      <x:c r="C84" s="66" t="str">
        <x:v>方案后补充</x:v>
      </x:c>
      <x:c r="D84" s="67" t="str">
        <x:v>行前准备资料</x:v>
      </x:c>
      <x:c r="E84" s="67" t="str">
        <x:v>旅中动态服务开关</x:v>
      </x:c>
      <x:c r="F84" s="67" t="str">
        <x:v>希望旅中监控哪些变化？</x:v>
      </x:c>
      <x:c r="G84" s="67" t="str">
        <x:v>多选开关</x:v>
      </x:c>
      <x:c r="H84" s="67" t="str">
        <x:v>天气 / 航班车次 / 景点关闭 / 公交中断 / 安全警报 / 预订确认</x:v>
      </x:c>
      <x:c r="I84" s="66" t="str">
        <x:v>否</x:v>
      </x:c>
      <x:c r="J84" s="67" t="str">
        <x:v>初步方案生成后</x:v>
      </x:c>
      <x:c r="K84" s="66" t="str">
        <x:v>array&lt;enum&gt;</x:v>
      </x:c>
      <x:c r="L84" s="67" t="str">
        <x:v>service.monitoring_topics</x:v>
      </x:c>
      <x:c r="M84" s="66" t="str">
        <x:v>INFO</x:v>
      </x:c>
      <x:c r="N84" s="66" t="str">
        <x:v>一般</x:v>
      </x:c>
      <x:c r="O84" s="66" t="str">
        <x:v>V2后置</x:v>
      </x:c>
      <x:c r="P84" s="66" t="str">
        <x:v>P2</x:v>
      </x:c>
      <x:c r="Q84" s="66" t="str">
        <x:v>否</x:v>
      </x:c>
      <x:c r="R84" s="66" t="str">
        <x:v>不展示</x:v>
      </x:c>
      <x:c r="S84" s="67" t="str">
        <x:v>配置旅中动态监控与提醒</x:v>
      </x:c>
      <x:c r="T84" s="66" t="str">
        <x:v>21-01;21-02;21-03;21-04;21-06;21-07</x:v>
      </x:c>
      <x:c r="U84" s="67" t="str">
        <x:v>安全警报可按产品策略设为默认推荐，但需说明</x:v>
      </x:c>
      <x:c r="V84" s="68" t="str"/>
    </x:row>
  </x:sheetData>
  <x:mergeCells>
    <x:mergeCell ref="A1:V1"/>
    <x:mergeCell ref="A2:V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R4"/>
    <x:mergeCell ref="P5:R5"/>
    <x:mergeCell ref="S4:V5"/>
  </x:mergeCells>
  <x:conditionalFormatting sqref="C9:C84">
    <x:cfRule type="expression" dxfId="0" priority="1">
      <x:formula>C9="主流程"</x:formula>
    </x:cfRule>
    <x:cfRule type="expression" dxfId="1" priority="2">
      <x:formula>C9="条件触发"</x:formula>
    </x:cfRule>
    <x:cfRule type="expression" dxfId="2" priority="3">
      <x:formula>C9="方案后补充"</x:formula>
    </x:cfRule>
  </x:conditionalFormatting>
  <x:conditionalFormatting sqref="P9:P84">
    <x:cfRule type="expression" dxfId="3" priority="4">
      <x:formula>P9="P0"</x:formula>
    </x:cfRule>
    <x:cfRule type="expression" dxfId="4" priority="5">
      <x:formula>P9="P1"</x:formula>
    </x:cfRule>
    <x:cfRule type="expression" dxfId="5" priority="6">
      <x:formula>P9="P2"</x:formula>
    </x:cfRule>
  </x:conditionalFormatting>
  <x:conditionalFormatting sqref="Q9:Q84">
    <x:cfRule type="expression" dxfId="6" priority="7">
      <x:formula>Q9="是"</x:formula>
    </x:cfRule>
  </x:conditionalFormatting>
  <x:conditionalFormatting sqref="R9:R84">
    <x:cfRule type="expression" dxfId="7" priority="8">
      <x:formula>R9="待确认"</x:formula>
    </x:cfRule>
  </x:conditionalFormatting>
  <x:conditionalFormatting sqref="N9:N84">
    <x:cfRule type="expression" dxfId="8" priority="9">
      <x:formula>N9="高度敏感"</x:formula>
    </x:cfRule>
  </x:conditionalFormatting>
  <x:dataValidations count="7">
    <x:dataValidation type="list" sqref="C9:C84">
      <x:formula1>"主流程,条件触发,方案后补充"</x:formula1>
    </x:dataValidation>
    <x:dataValidation type="list" sqref="I9:I84">
      <x:formula1>"是,否,条件必填"</x:formula1>
    </x:dataValidation>
    <x:dataValidation type="list" sqref="N9:N84">
      <x:formula1>"一般,中等,敏感,高度敏感"</x:formula1>
    </x:dataValidation>
    <x:dataValidation type="list" sqref="O9:O84">
      <x:formula1>"V1已有保留,V1已有改造,V2新增,V2后置"</x:formula1>
    </x:dataValidation>
    <x:dataValidation type="list" sqref="P9:P84">
      <x:formula1>"P0,P1,P2"</x:formula1>
    </x:dataValidation>
    <x:dataValidation type="list" sqref="Q9:Q84">
      <x:formula1>"是,否,条件"</x:formula1>
    </x:dataValidation>
    <x:dataValidation type="list" sqref="R9:R84">
      <x:formula1>"旅行骨架,必须满足,优先满足,明确不要,待确认,不展示"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3777e5fe014d3e"/>
  </x:tableParts>
</x:worksheet>
</file>